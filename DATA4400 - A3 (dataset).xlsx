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afa\Documents\DATA4400\"/>
    </mc:Choice>
  </mc:AlternateContent>
  <xr:revisionPtr revIDLastSave="0" documentId="8_{BAD665FA-B3CA-40EA-A5EA-18409DF5836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tton On - timeseries" sheetId="1" r:id="rId1"/>
    <sheet name="Holt-Winters forecas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2" l="1"/>
  <c r="C85" i="2"/>
  <c r="C101" i="2"/>
  <c r="C117" i="2"/>
  <c r="C70" i="2"/>
  <c r="C86" i="2"/>
  <c r="C102" i="2"/>
  <c r="C118" i="2"/>
  <c r="C105" i="2"/>
  <c r="C74" i="2"/>
  <c r="C122" i="2"/>
  <c r="C91" i="2"/>
  <c r="C107" i="2"/>
  <c r="C92" i="2"/>
  <c r="C108" i="2"/>
  <c r="C77" i="2"/>
  <c r="C125" i="2"/>
  <c r="C94" i="2"/>
  <c r="C110" i="2"/>
  <c r="C95" i="2"/>
  <c r="C111" i="2"/>
  <c r="C96" i="2"/>
  <c r="C112" i="2"/>
  <c r="C81" i="2"/>
  <c r="C98" i="2"/>
  <c r="C114" i="2"/>
  <c r="C99" i="2"/>
  <c r="C100" i="2"/>
  <c r="C71" i="2"/>
  <c r="C87" i="2"/>
  <c r="C103" i="2"/>
  <c r="C119" i="2"/>
  <c r="C88" i="2"/>
  <c r="C104" i="2"/>
  <c r="C120" i="2"/>
  <c r="C89" i="2"/>
  <c r="C121" i="2"/>
  <c r="C90" i="2"/>
  <c r="C106" i="2"/>
  <c r="C75" i="2"/>
  <c r="C123" i="2"/>
  <c r="C76" i="2"/>
  <c r="C124" i="2"/>
  <c r="C93" i="2"/>
  <c r="C109" i="2"/>
  <c r="C78" i="2"/>
  <c r="C126" i="2"/>
  <c r="C79" i="2"/>
  <c r="C127" i="2"/>
  <c r="C80" i="2"/>
  <c r="C128" i="2"/>
  <c r="C97" i="2"/>
  <c r="C82" i="2"/>
  <c r="C83" i="2"/>
  <c r="C84" i="2"/>
  <c r="C72" i="2"/>
  <c r="C73" i="2"/>
  <c r="C115" i="2"/>
  <c r="C116" i="2"/>
  <c r="C113" i="2"/>
  <c r="E113" i="2" l="1"/>
  <c r="E97" i="2"/>
  <c r="E93" i="2"/>
  <c r="D89" i="2"/>
  <c r="E100" i="2"/>
  <c r="E95" i="2"/>
  <c r="D91" i="2"/>
  <c r="D117" i="2"/>
  <c r="D97" i="2"/>
  <c r="E89" i="2"/>
  <c r="D95" i="2"/>
  <c r="E128" i="2"/>
  <c r="E99" i="2"/>
  <c r="D122" i="2"/>
  <c r="D128" i="2"/>
  <c r="D120" i="2"/>
  <c r="D99" i="2"/>
  <c r="E122" i="2"/>
  <c r="D115" i="2"/>
  <c r="E104" i="2"/>
  <c r="E94" i="2"/>
  <c r="E85" i="2"/>
  <c r="E73" i="2"/>
  <c r="D125" i="2"/>
  <c r="D79" i="2"/>
  <c r="E119" i="2"/>
  <c r="E118" i="2"/>
  <c r="D75" i="2"/>
  <c r="D77" i="2"/>
  <c r="E84" i="2"/>
  <c r="D108" i="2"/>
  <c r="D126" i="2"/>
  <c r="E108" i="2"/>
  <c r="E78" i="2"/>
  <c r="E96" i="2"/>
  <c r="D78" i="2"/>
  <c r="D92" i="2"/>
  <c r="D121" i="2"/>
  <c r="D111" i="2"/>
  <c r="E70" i="2"/>
  <c r="D109" i="2"/>
  <c r="D107" i="2"/>
  <c r="D113" i="2"/>
  <c r="D93" i="2"/>
  <c r="D100" i="2"/>
  <c r="E91" i="2"/>
  <c r="E117" i="2"/>
  <c r="E116" i="2"/>
  <c r="E124" i="2"/>
  <c r="E120" i="2"/>
  <c r="E110" i="2"/>
  <c r="E101" i="2"/>
  <c r="D116" i="2"/>
  <c r="D124" i="2"/>
  <c r="D110" i="2"/>
  <c r="D101" i="2"/>
  <c r="D80" i="2"/>
  <c r="D76" i="2"/>
  <c r="D114" i="2"/>
  <c r="D74" i="2"/>
  <c r="D69" i="2"/>
  <c r="E127" i="2"/>
  <c r="D98" i="2"/>
  <c r="E69" i="2"/>
  <c r="E75" i="2"/>
  <c r="E81" i="2"/>
  <c r="E72" i="2"/>
  <c r="D81" i="2"/>
  <c r="E126" i="2"/>
  <c r="E103" i="2"/>
  <c r="E102" i="2"/>
  <c r="E106" i="2"/>
  <c r="E112" i="2"/>
  <c r="D83" i="2"/>
  <c r="E87" i="2"/>
  <c r="E86" i="2"/>
  <c r="E90" i="2"/>
  <c r="D87" i="2"/>
  <c r="D86" i="2"/>
  <c r="E109" i="2"/>
  <c r="E107" i="2"/>
  <c r="E121" i="2"/>
  <c r="D71" i="2"/>
  <c r="D70" i="2"/>
  <c r="E115" i="2"/>
  <c r="E80" i="2"/>
  <c r="E76" i="2"/>
  <c r="D104" i="2"/>
  <c r="E114" i="2"/>
  <c r="D94" i="2"/>
  <c r="E74" i="2"/>
  <c r="D85" i="2"/>
  <c r="D73" i="2"/>
  <c r="D127" i="2"/>
  <c r="D123" i="2"/>
  <c r="E88" i="2"/>
  <c r="E98" i="2"/>
  <c r="E125" i="2"/>
  <c r="D105" i="2"/>
  <c r="E123" i="2"/>
  <c r="D88" i="2"/>
  <c r="E105" i="2"/>
  <c r="D72" i="2"/>
  <c r="E77" i="2"/>
  <c r="E79" i="2"/>
  <c r="D119" i="2"/>
  <c r="D118" i="2"/>
  <c r="D106" i="2"/>
  <c r="D112" i="2"/>
  <c r="D84" i="2"/>
  <c r="D103" i="2"/>
  <c r="D102" i="2"/>
  <c r="D90" i="2"/>
  <c r="E92" i="2"/>
  <c r="E83" i="2"/>
  <c r="D96" i="2"/>
  <c r="D82" i="2"/>
  <c r="E71" i="2"/>
  <c r="E82" i="2"/>
  <c r="E111" i="2"/>
</calcChain>
</file>

<file path=xl/sharedStrings.xml><?xml version="1.0" encoding="utf-8"?>
<sst xmlns="http://schemas.openxmlformats.org/spreadsheetml/2006/main" count="16" uniqueCount="14">
  <si>
    <t>date</t>
  </si>
  <si>
    <t>year</t>
  </si>
  <si>
    <t>month</t>
  </si>
  <si>
    <t>monthly_retail_sales_aud_million</t>
  </si>
  <si>
    <t>monthly_sales_growth_pct</t>
  </si>
  <si>
    <t>annual_sales_growth_pct</t>
  </si>
  <si>
    <t>three_month_moving_avg_sales</t>
  </si>
  <si>
    <t>is_xmas_peak</t>
  </si>
  <si>
    <t>is_black_friday_period</t>
  </si>
  <si>
    <t>is_eofy_sales</t>
  </si>
  <si>
    <t>is_easter_period</t>
  </si>
  <si>
    <t>Forecast(monthly_retail_sales_aud_million)</t>
  </si>
  <si>
    <t>Lower Confidence Bound(monthly_retail_sales_aud_million)</t>
  </si>
  <si>
    <t>Upper Confidence Bound(monthly_retail_sales_aud_million)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</si>
</sst>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4"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'Holt-Winters forecasting'!$B$1</c:f>
              <c:strCache>
                <c:ptCount val="1"/>
                <c:pt idx="0">
                  <c:v>monthly_retail_sales_aud_million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'Holt-Winters forecasting'!$B$2:$B$128</c:f>
              <c:numCache>
                <c:formatCode>"$"#,##0.00</c:formatCode>
                <c:ptCount val="127"/>
                <c:pt idx="0">
                  <c:v>2213.6999999999998</c:v>
                </c:pt>
                <c:pt idx="1">
                  <c:v>2245</c:v>
                </c:pt>
                <c:pt idx="2">
                  <c:v>1928.2</c:v>
                </c:pt>
                <c:pt idx="3">
                  <c:v>1910.7</c:v>
                </c:pt>
                <c:pt idx="4">
                  <c:v>2024.2</c:v>
                </c:pt>
                <c:pt idx="5">
                  <c:v>2641</c:v>
                </c:pt>
                <c:pt idx="6">
                  <c:v>2888.4</c:v>
                </c:pt>
                <c:pt idx="7">
                  <c:v>2134.1</c:v>
                </c:pt>
                <c:pt idx="8">
                  <c:v>2217.6999999999998</c:v>
                </c:pt>
                <c:pt idx="9">
                  <c:v>2475.8000000000002</c:v>
                </c:pt>
                <c:pt idx="10">
                  <c:v>2527.8000000000002</c:v>
                </c:pt>
                <c:pt idx="11">
                  <c:v>2447</c:v>
                </c:pt>
                <c:pt idx="12">
                  <c:v>2435</c:v>
                </c:pt>
                <c:pt idx="13">
                  <c:v>2014.3</c:v>
                </c:pt>
                <c:pt idx="14">
                  <c:v>1571.5</c:v>
                </c:pt>
                <c:pt idx="15">
                  <c:v>1668.2</c:v>
                </c:pt>
                <c:pt idx="16">
                  <c:v>2188.8000000000002</c:v>
                </c:pt>
                <c:pt idx="17">
                  <c:v>3032.8</c:v>
                </c:pt>
                <c:pt idx="18">
                  <c:v>3132.4</c:v>
                </c:pt>
                <c:pt idx="19">
                  <c:v>2303.6</c:v>
                </c:pt>
                <c:pt idx="20">
                  <c:v>2601.6999999999998</c:v>
                </c:pt>
                <c:pt idx="21">
                  <c:v>2838.3</c:v>
                </c:pt>
                <c:pt idx="22">
                  <c:v>2901.5</c:v>
                </c:pt>
                <c:pt idx="23">
                  <c:v>2760.5</c:v>
                </c:pt>
                <c:pt idx="24">
                  <c:v>3088.8</c:v>
                </c:pt>
                <c:pt idx="25">
                  <c:v>2989.4</c:v>
                </c:pt>
                <c:pt idx="26">
                  <c:v>2847.2</c:v>
                </c:pt>
                <c:pt idx="27">
                  <c:v>2874.7</c:v>
                </c:pt>
                <c:pt idx="28">
                  <c:v>2930</c:v>
                </c:pt>
                <c:pt idx="29">
                  <c:v>3270.8</c:v>
                </c:pt>
                <c:pt idx="30">
                  <c:v>3434.8</c:v>
                </c:pt>
                <c:pt idx="31">
                  <c:v>2712.8</c:v>
                </c:pt>
                <c:pt idx="32">
                  <c:v>2742.7</c:v>
                </c:pt>
                <c:pt idx="33">
                  <c:v>2956.9</c:v>
                </c:pt>
                <c:pt idx="34">
                  <c:v>3002.4</c:v>
                </c:pt>
                <c:pt idx="35">
                  <c:v>2914.7</c:v>
                </c:pt>
                <c:pt idx="36">
                  <c:v>3083.3</c:v>
                </c:pt>
                <c:pt idx="37">
                  <c:v>2950.5</c:v>
                </c:pt>
                <c:pt idx="38">
                  <c:v>2835.2</c:v>
                </c:pt>
                <c:pt idx="39">
                  <c:v>2902.5</c:v>
                </c:pt>
                <c:pt idx="40">
                  <c:v>2930.6</c:v>
                </c:pt>
                <c:pt idx="41">
                  <c:v>3251.6</c:v>
                </c:pt>
                <c:pt idx="42">
                  <c:v>3338.6</c:v>
                </c:pt>
                <c:pt idx="43">
                  <c:v>2690.6</c:v>
                </c:pt>
                <c:pt idx="44">
                  <c:v>2870.7</c:v>
                </c:pt>
                <c:pt idx="45">
                  <c:v>2974.6</c:v>
                </c:pt>
                <c:pt idx="46">
                  <c:v>2957.4</c:v>
                </c:pt>
                <c:pt idx="47">
                  <c:v>2879</c:v>
                </c:pt>
                <c:pt idx="48">
                  <c:v>3172.1</c:v>
                </c:pt>
                <c:pt idx="49">
                  <c:v>3018.5</c:v>
                </c:pt>
                <c:pt idx="50">
                  <c:v>2919.8</c:v>
                </c:pt>
                <c:pt idx="51">
                  <c:v>2928.9</c:v>
                </c:pt>
                <c:pt idx="52">
                  <c:v>2902.7</c:v>
                </c:pt>
                <c:pt idx="53">
                  <c:v>3276.7</c:v>
                </c:pt>
                <c:pt idx="54">
                  <c:v>3509</c:v>
                </c:pt>
                <c:pt idx="55">
                  <c:v>2787.2</c:v>
                </c:pt>
                <c:pt idx="56">
                  <c:v>2871.2</c:v>
                </c:pt>
                <c:pt idx="57">
                  <c:v>3172</c:v>
                </c:pt>
                <c:pt idx="58">
                  <c:v>2941</c:v>
                </c:pt>
                <c:pt idx="59">
                  <c:v>3021.2</c:v>
                </c:pt>
                <c:pt idx="60">
                  <c:v>3267.4</c:v>
                </c:pt>
                <c:pt idx="61">
                  <c:v>3200</c:v>
                </c:pt>
                <c:pt idx="62">
                  <c:v>3094.6</c:v>
                </c:pt>
                <c:pt idx="63">
                  <c:v>3139.4</c:v>
                </c:pt>
                <c:pt idx="64">
                  <c:v>3237</c:v>
                </c:pt>
                <c:pt idx="65">
                  <c:v>3591.1</c:v>
                </c:pt>
                <c:pt idx="66">
                  <c:v>3894.8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E-4A22-999D-D9216ED7016D}"/>
            </c:ext>
          </c:extLst>
        </c:ser>
        <c:ser>
          <c:idx val="1"/>
          <c:order val="1"/>
          <c:tx>
            <c:strRef>
              <c:f>'Holt-Winters forecasting'!$C$1</c:f>
              <c:strCache>
                <c:ptCount val="1"/>
                <c:pt idx="0">
                  <c:v>Forecast(monthly_retail_sales_aud_million)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'Holt-Winters forecasting'!$A$2:$A$128</c:f>
              <c:numCache>
                <c:formatCode>m/d/yyyy</c:formatCode>
                <c:ptCount val="127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45748</c:v>
                </c:pt>
                <c:pt idx="59">
                  <c:v>45778</c:v>
                </c:pt>
                <c:pt idx="60">
                  <c:v>45809</c:v>
                </c:pt>
                <c:pt idx="61">
                  <c:v>45839</c:v>
                </c:pt>
                <c:pt idx="62">
                  <c:v>45870</c:v>
                </c:pt>
                <c:pt idx="63">
                  <c:v>45901</c:v>
                </c:pt>
                <c:pt idx="64">
                  <c:v>45931</c:v>
                </c:pt>
                <c:pt idx="65">
                  <c:v>45962</c:v>
                </c:pt>
                <c:pt idx="66">
                  <c:v>45992</c:v>
                </c:pt>
                <c:pt idx="67">
                  <c:v>46023</c:v>
                </c:pt>
                <c:pt idx="68">
                  <c:v>46054</c:v>
                </c:pt>
                <c:pt idx="69">
                  <c:v>46082</c:v>
                </c:pt>
                <c:pt idx="70">
                  <c:v>46113</c:v>
                </c:pt>
                <c:pt idx="71">
                  <c:v>46143</c:v>
                </c:pt>
                <c:pt idx="72">
                  <c:v>46174</c:v>
                </c:pt>
                <c:pt idx="73">
                  <c:v>46204</c:v>
                </c:pt>
                <c:pt idx="74">
                  <c:v>46235</c:v>
                </c:pt>
                <c:pt idx="75">
                  <c:v>46266</c:v>
                </c:pt>
                <c:pt idx="76">
                  <c:v>46296</c:v>
                </c:pt>
                <c:pt idx="77">
                  <c:v>46327</c:v>
                </c:pt>
                <c:pt idx="78">
                  <c:v>46357</c:v>
                </c:pt>
                <c:pt idx="79">
                  <c:v>46388</c:v>
                </c:pt>
                <c:pt idx="80">
                  <c:v>46419</c:v>
                </c:pt>
                <c:pt idx="81">
                  <c:v>46447</c:v>
                </c:pt>
                <c:pt idx="82">
                  <c:v>46478</c:v>
                </c:pt>
                <c:pt idx="83">
                  <c:v>46508</c:v>
                </c:pt>
                <c:pt idx="84">
                  <c:v>46539</c:v>
                </c:pt>
                <c:pt idx="85">
                  <c:v>46569</c:v>
                </c:pt>
                <c:pt idx="86">
                  <c:v>46600</c:v>
                </c:pt>
                <c:pt idx="87">
                  <c:v>46631</c:v>
                </c:pt>
                <c:pt idx="88">
                  <c:v>46661</c:v>
                </c:pt>
                <c:pt idx="89">
                  <c:v>46692</c:v>
                </c:pt>
                <c:pt idx="90">
                  <c:v>46722</c:v>
                </c:pt>
                <c:pt idx="91">
                  <c:v>46753</c:v>
                </c:pt>
                <c:pt idx="92">
                  <c:v>46784</c:v>
                </c:pt>
                <c:pt idx="93">
                  <c:v>46813</c:v>
                </c:pt>
                <c:pt idx="94">
                  <c:v>46844</c:v>
                </c:pt>
                <c:pt idx="95">
                  <c:v>46874</c:v>
                </c:pt>
                <c:pt idx="96">
                  <c:v>46905</c:v>
                </c:pt>
                <c:pt idx="97">
                  <c:v>46935</c:v>
                </c:pt>
                <c:pt idx="98">
                  <c:v>46966</c:v>
                </c:pt>
                <c:pt idx="99">
                  <c:v>46997</c:v>
                </c:pt>
                <c:pt idx="100">
                  <c:v>47027</c:v>
                </c:pt>
                <c:pt idx="101">
                  <c:v>47058</c:v>
                </c:pt>
                <c:pt idx="102">
                  <c:v>47088</c:v>
                </c:pt>
                <c:pt idx="103">
                  <c:v>47119</c:v>
                </c:pt>
                <c:pt idx="104">
                  <c:v>47150</c:v>
                </c:pt>
                <c:pt idx="105">
                  <c:v>47178</c:v>
                </c:pt>
                <c:pt idx="106">
                  <c:v>47209</c:v>
                </c:pt>
                <c:pt idx="107">
                  <c:v>47239</c:v>
                </c:pt>
                <c:pt idx="108">
                  <c:v>47270</c:v>
                </c:pt>
                <c:pt idx="109">
                  <c:v>47300</c:v>
                </c:pt>
                <c:pt idx="110">
                  <c:v>47331</c:v>
                </c:pt>
                <c:pt idx="111">
                  <c:v>47362</c:v>
                </c:pt>
                <c:pt idx="112">
                  <c:v>47392</c:v>
                </c:pt>
                <c:pt idx="113">
                  <c:v>47423</c:v>
                </c:pt>
                <c:pt idx="114">
                  <c:v>47453</c:v>
                </c:pt>
                <c:pt idx="115">
                  <c:v>47484</c:v>
                </c:pt>
                <c:pt idx="116">
                  <c:v>47515</c:v>
                </c:pt>
                <c:pt idx="117">
                  <c:v>47543</c:v>
                </c:pt>
                <c:pt idx="118">
                  <c:v>47574</c:v>
                </c:pt>
                <c:pt idx="119">
                  <c:v>47604</c:v>
                </c:pt>
                <c:pt idx="120">
                  <c:v>47635</c:v>
                </c:pt>
                <c:pt idx="121">
                  <c:v>47665</c:v>
                </c:pt>
                <c:pt idx="122">
                  <c:v>47696</c:v>
                </c:pt>
                <c:pt idx="123">
                  <c:v>47727</c:v>
                </c:pt>
                <c:pt idx="124">
                  <c:v>47757</c:v>
                </c:pt>
                <c:pt idx="125">
                  <c:v>47788</c:v>
                </c:pt>
                <c:pt idx="126">
                  <c:v>47818</c:v>
                </c:pt>
              </c:numCache>
            </c:numRef>
          </c:cat>
          <c:val>
            <c:numRef>
              <c:f>'Holt-Winters forecasting'!$C$2:$C$128</c:f>
              <c:numCache>
                <c:formatCode>General</c:formatCode>
                <c:ptCount val="127"/>
                <c:pt idx="66" formatCode="&quot;$&quot;#,##0.00">
                  <c:v>3894.8</c:v>
                </c:pt>
                <c:pt idx="67" formatCode="&quot;$&quot;#,##0.00">
                  <c:v>3096.6430339342301</c:v>
                </c:pt>
                <c:pt idx="68" formatCode="&quot;$&quot;#,##0.00">
                  <c:v>3219.0893299180534</c:v>
                </c:pt>
                <c:pt idx="69" formatCode="&quot;$&quot;#,##0.00">
                  <c:v>3440.6786703202961</c:v>
                </c:pt>
                <c:pt idx="70" formatCode="&quot;$&quot;#,##0.00">
                  <c:v>3488.0425007347417</c:v>
                </c:pt>
                <c:pt idx="71" formatCode="&quot;$&quot;#,##0.00">
                  <c:v>3390.0831655333591</c:v>
                </c:pt>
                <c:pt idx="72" formatCode="&quot;$&quot;#,##0.00">
                  <c:v>3556.9966848453037</c:v>
                </c:pt>
                <c:pt idx="73" formatCode="&quot;$&quot;#,##0.00">
                  <c:v>3341.8560417332678</c:v>
                </c:pt>
                <c:pt idx="74" formatCode="&quot;$&quot;#,##0.00">
                  <c:v>3112.0420677500424</c:v>
                </c:pt>
                <c:pt idx="75" formatCode="&quot;$&quot;#,##0.00">
                  <c:v>3180.5667747559892</c:v>
                </c:pt>
                <c:pt idx="76" formatCode="&quot;$&quot;#,##0.00">
                  <c:v>3391.6433738412152</c:v>
                </c:pt>
                <c:pt idx="77" formatCode="&quot;$&quot;#,##0.00">
                  <c:v>3906.6993347101475</c:v>
                </c:pt>
                <c:pt idx="78" formatCode="&quot;$&quot;#,##0.00">
                  <c:v>4071.7918128116835</c:v>
                </c:pt>
                <c:pt idx="79" formatCode="&quot;$&quot;#,##0.00">
                  <c:v>3296.4697188870268</c:v>
                </c:pt>
                <c:pt idx="80" formatCode="&quot;$&quot;#,##0.00">
                  <c:v>3418.9160148708502</c:v>
                </c:pt>
                <c:pt idx="81" formatCode="&quot;$&quot;#,##0.00">
                  <c:v>3640.5053552730928</c:v>
                </c:pt>
                <c:pt idx="82" formatCode="&quot;$&quot;#,##0.00">
                  <c:v>3687.8691856875384</c:v>
                </c:pt>
                <c:pt idx="83" formatCode="&quot;$&quot;#,##0.00">
                  <c:v>3589.9098504861558</c:v>
                </c:pt>
                <c:pt idx="84" formatCode="&quot;$&quot;#,##0.00">
                  <c:v>3756.8233697981004</c:v>
                </c:pt>
                <c:pt idx="85" formatCode="&quot;$&quot;#,##0.00">
                  <c:v>3541.6827266860641</c:v>
                </c:pt>
                <c:pt idx="86" formatCode="&quot;$&quot;#,##0.00">
                  <c:v>3311.8687527028392</c:v>
                </c:pt>
                <c:pt idx="87" formatCode="&quot;$&quot;#,##0.00">
                  <c:v>3380.3934597087855</c:v>
                </c:pt>
                <c:pt idx="88" formatCode="&quot;$&quot;#,##0.00">
                  <c:v>3591.4700587940119</c:v>
                </c:pt>
                <c:pt idx="89" formatCode="&quot;$&quot;#,##0.00">
                  <c:v>4106.5260196629442</c:v>
                </c:pt>
                <c:pt idx="90" formatCode="&quot;$&quot;#,##0.00">
                  <c:v>4271.6184977644798</c:v>
                </c:pt>
                <c:pt idx="91" formatCode="&quot;$&quot;#,##0.00">
                  <c:v>3496.2964038398236</c:v>
                </c:pt>
                <c:pt idx="92" formatCode="&quot;$&quot;#,##0.00">
                  <c:v>3618.7426998236469</c:v>
                </c:pt>
                <c:pt idx="93" formatCode="&quot;$&quot;#,##0.00">
                  <c:v>3840.3320402258892</c:v>
                </c:pt>
                <c:pt idx="94" formatCode="&quot;$&quot;#,##0.00">
                  <c:v>3887.6958706403352</c:v>
                </c:pt>
                <c:pt idx="95" formatCode="&quot;$&quot;#,##0.00">
                  <c:v>3789.7365354389526</c:v>
                </c:pt>
                <c:pt idx="96" formatCode="&quot;$&quot;#,##0.00">
                  <c:v>3956.6500547508972</c:v>
                </c:pt>
                <c:pt idx="97" formatCode="&quot;$&quot;#,##0.00">
                  <c:v>3741.5094116388609</c:v>
                </c:pt>
                <c:pt idx="98" formatCode="&quot;$&quot;#,##0.00">
                  <c:v>3511.6954376556355</c:v>
                </c:pt>
                <c:pt idx="99" formatCode="&quot;$&quot;#,##0.00">
                  <c:v>3580.2201446615827</c:v>
                </c:pt>
                <c:pt idx="100" formatCode="&quot;$&quot;#,##0.00">
                  <c:v>3791.2967437468087</c:v>
                </c:pt>
                <c:pt idx="101" formatCode="&quot;$&quot;#,##0.00">
                  <c:v>4306.3527046157405</c:v>
                </c:pt>
                <c:pt idx="102" formatCode="&quot;$&quot;#,##0.00">
                  <c:v>4471.445182717277</c:v>
                </c:pt>
                <c:pt idx="103" formatCode="&quot;$&quot;#,##0.00">
                  <c:v>3696.1230887926204</c:v>
                </c:pt>
                <c:pt idx="104" formatCode="&quot;$&quot;#,##0.00">
                  <c:v>3818.5693847764437</c:v>
                </c:pt>
                <c:pt idx="105" formatCode="&quot;$&quot;#,##0.00">
                  <c:v>4040.1587251786859</c:v>
                </c:pt>
                <c:pt idx="106" formatCode="&quot;$&quot;#,##0.00">
                  <c:v>4087.5225555931315</c:v>
                </c:pt>
                <c:pt idx="107" formatCode="&quot;$&quot;#,##0.00">
                  <c:v>3989.5632203917494</c:v>
                </c:pt>
                <c:pt idx="108" formatCode="&quot;$&quot;#,##0.00">
                  <c:v>4156.476739703694</c:v>
                </c:pt>
                <c:pt idx="109" formatCode="&quot;$&quot;#,##0.00">
                  <c:v>3941.3360965916577</c:v>
                </c:pt>
                <c:pt idx="110" formatCode="&quot;$&quot;#,##0.00">
                  <c:v>3711.5221226084323</c:v>
                </c:pt>
                <c:pt idx="111" formatCode="&quot;$&quot;#,##0.00">
                  <c:v>3780.046829614379</c:v>
                </c:pt>
                <c:pt idx="112" formatCode="&quot;$&quot;#,##0.00">
                  <c:v>3991.1234286996055</c:v>
                </c:pt>
                <c:pt idx="113" formatCode="&quot;$&quot;#,##0.00">
                  <c:v>4506.1793895685378</c:v>
                </c:pt>
                <c:pt idx="114" formatCode="&quot;$&quot;#,##0.00">
                  <c:v>4671.2718676700733</c:v>
                </c:pt>
                <c:pt idx="115" formatCode="&quot;$&quot;#,##0.00">
                  <c:v>3895.9497737454171</c:v>
                </c:pt>
                <c:pt idx="116" formatCode="&quot;$&quot;#,##0.00">
                  <c:v>4018.39606972924</c:v>
                </c:pt>
                <c:pt idx="117" formatCode="&quot;$&quot;#,##0.00">
                  <c:v>4239.9854101314822</c:v>
                </c:pt>
                <c:pt idx="118" formatCode="&quot;$&quot;#,##0.00">
                  <c:v>4287.3492405459292</c:v>
                </c:pt>
                <c:pt idx="119" formatCode="&quot;$&quot;#,##0.00">
                  <c:v>4189.3899053445457</c:v>
                </c:pt>
                <c:pt idx="120" formatCode="&quot;$&quot;#,##0.00">
                  <c:v>4356.3034246564912</c:v>
                </c:pt>
                <c:pt idx="121" formatCode="&quot;$&quot;#,##0.00">
                  <c:v>4141.1627815444544</c:v>
                </c:pt>
                <c:pt idx="122" formatCode="&quot;$&quot;#,##0.00">
                  <c:v>3911.348807561229</c:v>
                </c:pt>
                <c:pt idx="123" formatCode="&quot;$&quot;#,##0.00">
                  <c:v>3979.8735145671762</c:v>
                </c:pt>
                <c:pt idx="124" formatCode="&quot;$&quot;#,##0.00">
                  <c:v>4190.9501136524013</c:v>
                </c:pt>
                <c:pt idx="125" formatCode="&quot;$&quot;#,##0.00">
                  <c:v>4706.0060745213341</c:v>
                </c:pt>
                <c:pt idx="126" formatCode="&quot;$&quot;#,##0.00">
                  <c:v>4871.0985526228696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E-4A22-999D-D9216ED7016D}"/>
            </c:ext>
          </c:extLst>
        </c:ser>
        <c:ser>
          <c:idx val="2"/>
          <c:order val="2"/>
          <c:tx>
            <c:strRef>
              <c:f>'Holt-Winters forecasting'!$D$1</c:f>
              <c:strCache>
                <c:ptCount val="1"/>
                <c:pt idx="0">
                  <c:v>Lower Confidence Bound(monthly_retail_sales_aud_million)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'Holt-Winters forecasting'!$A$2:$A$128</c:f>
              <c:numCache>
                <c:formatCode>m/d/yyyy</c:formatCode>
                <c:ptCount val="127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45748</c:v>
                </c:pt>
                <c:pt idx="59">
                  <c:v>45778</c:v>
                </c:pt>
                <c:pt idx="60">
                  <c:v>45809</c:v>
                </c:pt>
                <c:pt idx="61">
                  <c:v>45839</c:v>
                </c:pt>
                <c:pt idx="62">
                  <c:v>45870</c:v>
                </c:pt>
                <c:pt idx="63">
                  <c:v>45901</c:v>
                </c:pt>
                <c:pt idx="64">
                  <c:v>45931</c:v>
                </c:pt>
                <c:pt idx="65">
                  <c:v>45962</c:v>
                </c:pt>
                <c:pt idx="66">
                  <c:v>45992</c:v>
                </c:pt>
                <c:pt idx="67">
                  <c:v>46023</c:v>
                </c:pt>
                <c:pt idx="68">
                  <c:v>46054</c:v>
                </c:pt>
                <c:pt idx="69">
                  <c:v>46082</c:v>
                </c:pt>
                <c:pt idx="70">
                  <c:v>46113</c:v>
                </c:pt>
                <c:pt idx="71">
                  <c:v>46143</c:v>
                </c:pt>
                <c:pt idx="72">
                  <c:v>46174</c:v>
                </c:pt>
                <c:pt idx="73">
                  <c:v>46204</c:v>
                </c:pt>
                <c:pt idx="74">
                  <c:v>46235</c:v>
                </c:pt>
                <c:pt idx="75">
                  <c:v>46266</c:v>
                </c:pt>
                <c:pt idx="76">
                  <c:v>46296</c:v>
                </c:pt>
                <c:pt idx="77">
                  <c:v>46327</c:v>
                </c:pt>
                <c:pt idx="78">
                  <c:v>46357</c:v>
                </c:pt>
                <c:pt idx="79">
                  <c:v>46388</c:v>
                </c:pt>
                <c:pt idx="80">
                  <c:v>46419</c:v>
                </c:pt>
                <c:pt idx="81">
                  <c:v>46447</c:v>
                </c:pt>
                <c:pt idx="82">
                  <c:v>46478</c:v>
                </c:pt>
                <c:pt idx="83">
                  <c:v>46508</c:v>
                </c:pt>
                <c:pt idx="84">
                  <c:v>46539</c:v>
                </c:pt>
                <c:pt idx="85">
                  <c:v>46569</c:v>
                </c:pt>
                <c:pt idx="86">
                  <c:v>46600</c:v>
                </c:pt>
                <c:pt idx="87">
                  <c:v>46631</c:v>
                </c:pt>
                <c:pt idx="88">
                  <c:v>46661</c:v>
                </c:pt>
                <c:pt idx="89">
                  <c:v>46692</c:v>
                </c:pt>
                <c:pt idx="90">
                  <c:v>46722</c:v>
                </c:pt>
                <c:pt idx="91">
                  <c:v>46753</c:v>
                </c:pt>
                <c:pt idx="92">
                  <c:v>46784</c:v>
                </c:pt>
                <c:pt idx="93">
                  <c:v>46813</c:v>
                </c:pt>
                <c:pt idx="94">
                  <c:v>46844</c:v>
                </c:pt>
                <c:pt idx="95">
                  <c:v>46874</c:v>
                </c:pt>
                <c:pt idx="96">
                  <c:v>46905</c:v>
                </c:pt>
                <c:pt idx="97">
                  <c:v>46935</c:v>
                </c:pt>
                <c:pt idx="98">
                  <c:v>46966</c:v>
                </c:pt>
                <c:pt idx="99">
                  <c:v>46997</c:v>
                </c:pt>
                <c:pt idx="100">
                  <c:v>47027</c:v>
                </c:pt>
                <c:pt idx="101">
                  <c:v>47058</c:v>
                </c:pt>
                <c:pt idx="102">
                  <c:v>47088</c:v>
                </c:pt>
                <c:pt idx="103">
                  <c:v>47119</c:v>
                </c:pt>
                <c:pt idx="104">
                  <c:v>47150</c:v>
                </c:pt>
                <c:pt idx="105">
                  <c:v>47178</c:v>
                </c:pt>
                <c:pt idx="106">
                  <c:v>47209</c:v>
                </c:pt>
                <c:pt idx="107">
                  <c:v>47239</c:v>
                </c:pt>
                <c:pt idx="108">
                  <c:v>47270</c:v>
                </c:pt>
                <c:pt idx="109">
                  <c:v>47300</c:v>
                </c:pt>
                <c:pt idx="110">
                  <c:v>47331</c:v>
                </c:pt>
                <c:pt idx="111">
                  <c:v>47362</c:v>
                </c:pt>
                <c:pt idx="112">
                  <c:v>47392</c:v>
                </c:pt>
                <c:pt idx="113">
                  <c:v>47423</c:v>
                </c:pt>
                <c:pt idx="114">
                  <c:v>47453</c:v>
                </c:pt>
                <c:pt idx="115">
                  <c:v>47484</c:v>
                </c:pt>
                <c:pt idx="116">
                  <c:v>47515</c:v>
                </c:pt>
                <c:pt idx="117">
                  <c:v>47543</c:v>
                </c:pt>
                <c:pt idx="118">
                  <c:v>47574</c:v>
                </c:pt>
                <c:pt idx="119">
                  <c:v>47604</c:v>
                </c:pt>
                <c:pt idx="120">
                  <c:v>47635</c:v>
                </c:pt>
                <c:pt idx="121">
                  <c:v>47665</c:v>
                </c:pt>
                <c:pt idx="122">
                  <c:v>47696</c:v>
                </c:pt>
                <c:pt idx="123">
                  <c:v>47727</c:v>
                </c:pt>
                <c:pt idx="124">
                  <c:v>47757</c:v>
                </c:pt>
                <c:pt idx="125">
                  <c:v>47788</c:v>
                </c:pt>
                <c:pt idx="126">
                  <c:v>47818</c:v>
                </c:pt>
              </c:numCache>
            </c:numRef>
          </c:cat>
          <c:val>
            <c:numRef>
              <c:f>'Holt-Winters forecasting'!$D$2:$D$128</c:f>
              <c:numCache>
                <c:formatCode>General</c:formatCode>
                <c:ptCount val="127"/>
                <c:pt idx="66" formatCode="&quot;$&quot;#,##0.00">
                  <c:v>3894.8</c:v>
                </c:pt>
                <c:pt idx="67" formatCode="&quot;$&quot;#,##0.00">
                  <c:v>2830.0065875426826</c:v>
                </c:pt>
                <c:pt idx="68" formatCode="&quot;$&quot;#,##0.00">
                  <c:v>2885.473535419203</c:v>
                </c:pt>
                <c:pt idx="69" formatCode="&quot;$&quot;#,##0.00">
                  <c:v>3051.306097967446</c:v>
                </c:pt>
                <c:pt idx="70" formatCode="&quot;$&quot;#,##0.00">
                  <c:v>3049.8306318641808</c:v>
                </c:pt>
                <c:pt idx="71" formatCode="&quot;$&quot;#,##0.00">
                  <c:v>2907.8430113734721</c:v>
                </c:pt>
                <c:pt idx="72" formatCode="&quot;$&quot;#,##0.00">
                  <c:v>3034.3219149491192</c:v>
                </c:pt>
                <c:pt idx="73" formatCode="&quot;$&quot;#,##0.00">
                  <c:v>2781.5616275056645</c:v>
                </c:pt>
                <c:pt idx="74" formatCode="&quot;$&quot;#,##0.00">
                  <c:v>2516.4092487583321</c:v>
                </c:pt>
                <c:pt idx="75" formatCode="&quot;$&quot;#,##0.00">
                  <c:v>2551.492112563898</c:v>
                </c:pt>
                <c:pt idx="76" formatCode="&quot;$&quot;#,##0.00">
                  <c:v>2730.7353624955449</c:v>
                </c:pt>
                <c:pt idx="77" formatCode="&quot;$&quot;#,##0.00">
                  <c:v>3215.3441410532364</c:v>
                </c:pt>
                <c:pt idx="78" formatCode="&quot;$&quot;#,##0.00">
                  <c:v>3351.1997744095283</c:v>
                </c:pt>
                <c:pt idx="79" formatCode="&quot;$&quot;#,##0.00">
                  <c:v>2547.6367937668037</c:v>
                </c:pt>
                <c:pt idx="80" formatCode="&quot;$&quot;#,##0.00">
                  <c:v>2642.8692291165075</c:v>
                </c:pt>
                <c:pt idx="81" formatCode="&quot;$&quot;#,##0.00">
                  <c:v>2838.0994842440714</c:v>
                </c:pt>
                <c:pt idx="82" formatCode="&quot;$&quot;#,##0.00">
                  <c:v>2859.8772796397288</c:v>
                </c:pt>
                <c:pt idx="83" formatCode="&quot;$&quot;#,##0.00">
                  <c:v>2737.0352994962909</c:v>
                </c:pt>
                <c:pt idx="84" formatCode="&quot;$&quot;#,##0.00">
                  <c:v>2879.7096178888805</c:v>
                </c:pt>
                <c:pt idx="85" formatCode="&quot;$&quot;#,##0.00">
                  <c:v>2640.9211928398481</c:v>
                </c:pt>
                <c:pt idx="86" formatCode="&quot;$&quot;#,##0.00">
                  <c:v>2388.0053628435426</c:v>
                </c:pt>
                <c:pt idx="87" formatCode="&quot;$&quot;#,##0.00">
                  <c:v>2433.9340877470377</c:v>
                </c:pt>
                <c:pt idx="88" formatCode="&quot;$&quot;#,##0.00">
                  <c:v>2622.8851002061124</c:v>
                </c:pt>
                <c:pt idx="89" formatCode="&quot;$&quot;#,##0.00">
                  <c:v>3116.2542675676964</c:v>
                </c:pt>
                <c:pt idx="90" formatCode="&quot;$&quot;#,##0.00">
                  <c:v>3260.0704524648904</c:v>
                </c:pt>
                <c:pt idx="91" formatCode="&quot;$&quot;#,##0.00">
                  <c:v>2463.803717481157</c:v>
                </c:pt>
                <c:pt idx="92" formatCode="&quot;$&quot;#,##0.00">
                  <c:v>2565.7218800774976</c:v>
                </c:pt>
                <c:pt idx="93" formatCode="&quot;$&quot;#,##0.00">
                  <c:v>2767.1242519667394</c:v>
                </c:pt>
                <c:pt idx="94" formatCode="&quot;$&quot;#,##0.00">
                  <c:v>2794.6233115401378</c:v>
                </c:pt>
                <c:pt idx="95" formatCode="&quot;$&quot;#,##0.00">
                  <c:v>2677.1040817319254</c:v>
                </c:pt>
                <c:pt idx="96" formatCode="&quot;$&quot;#,##0.00">
                  <c:v>2824.746714477144</c:v>
                </c:pt>
                <c:pt idx="97" formatCode="&quot;$&quot;#,##0.00">
                  <c:v>2590.6096133548735</c:v>
                </c:pt>
                <c:pt idx="98" formatCode="&quot;$&quot;#,##0.00">
                  <c:v>2342.0601777844913</c:v>
                </c:pt>
                <c:pt idx="99" formatCode="&quot;$&quot;#,##0.00">
                  <c:v>2392.0980127896037</c:v>
                </c:pt>
                <c:pt idx="100" formatCode="&quot;$&quot;#,##0.00">
                  <c:v>2584.9248420470694</c:v>
                </c:pt>
                <c:pt idx="101" formatCode="&quot;$&quot;#,##0.00">
                  <c:v>3081.9574750335132</c:v>
                </c:pt>
                <c:pt idx="102" formatCode="&quot;$&quot;#,##0.00">
                  <c:v>3229.2431534671182</c:v>
                </c:pt>
                <c:pt idx="103" formatCode="&quot;$&quot;#,##0.00">
                  <c:v>2436.2771094104037</c:v>
                </c:pt>
                <c:pt idx="104" formatCode="&quot;$&quot;#,##0.00">
                  <c:v>2541.3231665170742</c:v>
                </c:pt>
                <c:pt idx="105" formatCode="&quot;$&quot;#,##0.00">
                  <c:v>2745.702843676122</c:v>
                </c:pt>
                <c:pt idx="106" formatCode="&quot;$&quot;#,##0.00">
                  <c:v>2776.0400298796985</c:v>
                </c:pt>
                <c:pt idx="107" formatCode="&quot;$&quot;#,##0.00">
                  <c:v>2661.2299781166171</c:v>
                </c:pt>
                <c:pt idx="108" formatCode="&quot;$&quot;#,##0.00">
                  <c:v>2811.4620434304488</c:v>
                </c:pt>
                <c:pt idx="109" formatCode="&quot;$&quot;#,##0.00">
                  <c:v>2579.8029352565381</c:v>
                </c:pt>
                <c:pt idx="110" formatCode="&quot;$&quot;#,##0.00">
                  <c:v>2333.6275717099452</c:v>
                </c:pt>
                <c:pt idx="111" formatCode="&quot;$&quot;#,##0.00">
                  <c:v>2385.9423832680468</c:v>
                </c:pt>
                <c:pt idx="112" formatCode="&quot;$&quot;#,##0.00">
                  <c:v>2580.9553063163903</c:v>
                </c:pt>
                <c:pt idx="113" formatCode="&quot;$&quot;#,##0.00">
                  <c:v>3080.088819592248</c:v>
                </c:pt>
                <c:pt idx="114" formatCode="&quot;$&quot;#,##0.00">
                  <c:v>3229.3953505296158</c:v>
                </c:pt>
                <c:pt idx="115" formatCode="&quot;$&quot;#,##0.00">
                  <c:v>2438.3803286796065</c:v>
                </c:pt>
                <c:pt idx="116" formatCode="&quot;$&quot;#,##0.00">
                  <c:v>2545.3008644903471</c:v>
                </c:pt>
                <c:pt idx="117" formatCode="&quot;$&quot;#,##0.00">
                  <c:v>2751.4881466833958</c:v>
                </c:pt>
                <c:pt idx="118" formatCode="&quot;$&quot;#,##0.00">
                  <c:v>2783.5697726174294</c:v>
                </c:pt>
                <c:pt idx="119" formatCode="&quot;$&quot;#,##0.00">
                  <c:v>2670.4444222871566</c:v>
                </c:pt>
                <c:pt idx="120" formatCode="&quot;$&quot;#,##0.00">
                  <c:v>2822.3046233226041</c:v>
                </c:pt>
                <c:pt idx="121" formatCode="&quot;$&quot;#,##0.00">
                  <c:v>2592.2200271686256</c:v>
                </c:pt>
                <c:pt idx="122" formatCode="&quot;$&quot;#,##0.00">
                  <c:v>2347.5682845308493</c:v>
                </c:pt>
                <c:pt idx="123" formatCode="&quot;$&quot;#,##0.00">
                  <c:v>2401.3583678830664</c:v>
                </c:pt>
                <c:pt idx="124" formatCode="&quot;$&quot;#,##0.00">
                  <c:v>2597.8005818038259</c:v>
                </c:pt>
                <c:pt idx="125" formatCode="&quot;$&quot;#,##0.00">
                  <c:v>3098.3196144322746</c:v>
                </c:pt>
                <c:pt idx="126" formatCode="&quot;$&quot;#,##0.00">
                  <c:v>3248.9699572660729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CE-4A22-999D-D9216ED7016D}"/>
            </c:ext>
          </c:extLst>
        </c:ser>
        <c:ser>
          <c:idx val="3"/>
          <c:order val="3"/>
          <c:tx>
            <c:strRef>
              <c:f>'Holt-Winters forecasting'!$E$1</c:f>
              <c:strCache>
                <c:ptCount val="1"/>
                <c:pt idx="0">
                  <c:v>Upper Confidence Bound(monthly_retail_sales_aud_million)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'Holt-Winters forecasting'!$A$2:$A$128</c:f>
              <c:numCache>
                <c:formatCode>m/d/yyyy</c:formatCode>
                <c:ptCount val="127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45748</c:v>
                </c:pt>
                <c:pt idx="59">
                  <c:v>45778</c:v>
                </c:pt>
                <c:pt idx="60">
                  <c:v>45809</c:v>
                </c:pt>
                <c:pt idx="61">
                  <c:v>45839</c:v>
                </c:pt>
                <c:pt idx="62">
                  <c:v>45870</c:v>
                </c:pt>
                <c:pt idx="63">
                  <c:v>45901</c:v>
                </c:pt>
                <c:pt idx="64">
                  <c:v>45931</c:v>
                </c:pt>
                <c:pt idx="65">
                  <c:v>45962</c:v>
                </c:pt>
                <c:pt idx="66">
                  <c:v>45992</c:v>
                </c:pt>
                <c:pt idx="67">
                  <c:v>46023</c:v>
                </c:pt>
                <c:pt idx="68">
                  <c:v>46054</c:v>
                </c:pt>
                <c:pt idx="69">
                  <c:v>46082</c:v>
                </c:pt>
                <c:pt idx="70">
                  <c:v>46113</c:v>
                </c:pt>
                <c:pt idx="71">
                  <c:v>46143</c:v>
                </c:pt>
                <c:pt idx="72">
                  <c:v>46174</c:v>
                </c:pt>
                <c:pt idx="73">
                  <c:v>46204</c:v>
                </c:pt>
                <c:pt idx="74">
                  <c:v>46235</c:v>
                </c:pt>
                <c:pt idx="75">
                  <c:v>46266</c:v>
                </c:pt>
                <c:pt idx="76">
                  <c:v>46296</c:v>
                </c:pt>
                <c:pt idx="77">
                  <c:v>46327</c:v>
                </c:pt>
                <c:pt idx="78">
                  <c:v>46357</c:v>
                </c:pt>
                <c:pt idx="79">
                  <c:v>46388</c:v>
                </c:pt>
                <c:pt idx="80">
                  <c:v>46419</c:v>
                </c:pt>
                <c:pt idx="81">
                  <c:v>46447</c:v>
                </c:pt>
                <c:pt idx="82">
                  <c:v>46478</c:v>
                </c:pt>
                <c:pt idx="83">
                  <c:v>46508</c:v>
                </c:pt>
                <c:pt idx="84">
                  <c:v>46539</c:v>
                </c:pt>
                <c:pt idx="85">
                  <c:v>46569</c:v>
                </c:pt>
                <c:pt idx="86">
                  <c:v>46600</c:v>
                </c:pt>
                <c:pt idx="87">
                  <c:v>46631</c:v>
                </c:pt>
                <c:pt idx="88">
                  <c:v>46661</c:v>
                </c:pt>
                <c:pt idx="89">
                  <c:v>46692</c:v>
                </c:pt>
                <c:pt idx="90">
                  <c:v>46722</c:v>
                </c:pt>
                <c:pt idx="91">
                  <c:v>46753</c:v>
                </c:pt>
                <c:pt idx="92">
                  <c:v>46784</c:v>
                </c:pt>
                <c:pt idx="93">
                  <c:v>46813</c:v>
                </c:pt>
                <c:pt idx="94">
                  <c:v>46844</c:v>
                </c:pt>
                <c:pt idx="95">
                  <c:v>46874</c:v>
                </c:pt>
                <c:pt idx="96">
                  <c:v>46905</c:v>
                </c:pt>
                <c:pt idx="97">
                  <c:v>46935</c:v>
                </c:pt>
                <c:pt idx="98">
                  <c:v>46966</c:v>
                </c:pt>
                <c:pt idx="99">
                  <c:v>46997</c:v>
                </c:pt>
                <c:pt idx="100">
                  <c:v>47027</c:v>
                </c:pt>
                <c:pt idx="101">
                  <c:v>47058</c:v>
                </c:pt>
                <c:pt idx="102">
                  <c:v>47088</c:v>
                </c:pt>
                <c:pt idx="103">
                  <c:v>47119</c:v>
                </c:pt>
                <c:pt idx="104">
                  <c:v>47150</c:v>
                </c:pt>
                <c:pt idx="105">
                  <c:v>47178</c:v>
                </c:pt>
                <c:pt idx="106">
                  <c:v>47209</c:v>
                </c:pt>
                <c:pt idx="107">
                  <c:v>47239</c:v>
                </c:pt>
                <c:pt idx="108">
                  <c:v>47270</c:v>
                </c:pt>
                <c:pt idx="109">
                  <c:v>47300</c:v>
                </c:pt>
                <c:pt idx="110">
                  <c:v>47331</c:v>
                </c:pt>
                <c:pt idx="111">
                  <c:v>47362</c:v>
                </c:pt>
                <c:pt idx="112">
                  <c:v>47392</c:v>
                </c:pt>
                <c:pt idx="113">
                  <c:v>47423</c:v>
                </c:pt>
                <c:pt idx="114">
                  <c:v>47453</c:v>
                </c:pt>
                <c:pt idx="115">
                  <c:v>47484</c:v>
                </c:pt>
                <c:pt idx="116">
                  <c:v>47515</c:v>
                </c:pt>
                <c:pt idx="117">
                  <c:v>47543</c:v>
                </c:pt>
                <c:pt idx="118">
                  <c:v>47574</c:v>
                </c:pt>
                <c:pt idx="119">
                  <c:v>47604</c:v>
                </c:pt>
                <c:pt idx="120">
                  <c:v>47635</c:v>
                </c:pt>
                <c:pt idx="121">
                  <c:v>47665</c:v>
                </c:pt>
                <c:pt idx="122">
                  <c:v>47696</c:v>
                </c:pt>
                <c:pt idx="123">
                  <c:v>47727</c:v>
                </c:pt>
                <c:pt idx="124">
                  <c:v>47757</c:v>
                </c:pt>
                <c:pt idx="125">
                  <c:v>47788</c:v>
                </c:pt>
                <c:pt idx="126">
                  <c:v>47818</c:v>
                </c:pt>
              </c:numCache>
            </c:numRef>
          </c:cat>
          <c:val>
            <c:numRef>
              <c:f>'Holt-Winters forecasting'!$E$2:$E$128</c:f>
              <c:numCache>
                <c:formatCode>General</c:formatCode>
                <c:ptCount val="127"/>
                <c:pt idx="66" formatCode="&quot;$&quot;#,##0.00">
                  <c:v>3894.8</c:v>
                </c:pt>
                <c:pt idx="67" formatCode="&quot;$&quot;#,##0.00">
                  <c:v>3363.2794803257775</c:v>
                </c:pt>
                <c:pt idx="68" formatCode="&quot;$&quot;#,##0.00">
                  <c:v>3552.7051244169038</c:v>
                </c:pt>
                <c:pt idx="69" formatCode="&quot;$&quot;#,##0.00">
                  <c:v>3830.0512426731461</c:v>
                </c:pt>
                <c:pt idx="70" formatCode="&quot;$&quot;#,##0.00">
                  <c:v>3926.2543696053026</c:v>
                </c:pt>
                <c:pt idx="71" formatCode="&quot;$&quot;#,##0.00">
                  <c:v>3872.323319693246</c:v>
                </c:pt>
                <c:pt idx="72" formatCode="&quot;$&quot;#,##0.00">
                  <c:v>4079.6714547414881</c:v>
                </c:pt>
                <c:pt idx="73" formatCode="&quot;$&quot;#,##0.00">
                  <c:v>3902.1504559608711</c:v>
                </c:pt>
                <c:pt idx="74" formatCode="&quot;$&quot;#,##0.00">
                  <c:v>3707.6748867417527</c:v>
                </c:pt>
                <c:pt idx="75" formatCode="&quot;$&quot;#,##0.00">
                  <c:v>3809.6414369480804</c:v>
                </c:pt>
                <c:pt idx="76" formatCode="&quot;$&quot;#,##0.00">
                  <c:v>4052.5513851868855</c:v>
                </c:pt>
                <c:pt idx="77" formatCode="&quot;$&quot;#,##0.00">
                  <c:v>4598.054528367059</c:v>
                </c:pt>
                <c:pt idx="78" formatCode="&quot;$&quot;#,##0.00">
                  <c:v>4792.3838512138382</c:v>
                </c:pt>
                <c:pt idx="79" formatCode="&quot;$&quot;#,##0.00">
                  <c:v>4045.3026440072499</c:v>
                </c:pt>
                <c:pt idx="80" formatCode="&quot;$&quot;#,##0.00">
                  <c:v>4194.9628006251933</c:v>
                </c:pt>
                <c:pt idx="81" formatCode="&quot;$&quot;#,##0.00">
                  <c:v>4442.9112263021143</c:v>
                </c:pt>
                <c:pt idx="82" formatCode="&quot;$&quot;#,##0.00">
                  <c:v>4515.8610917353481</c:v>
                </c:pt>
                <c:pt idx="83" formatCode="&quot;$&quot;#,##0.00">
                  <c:v>4442.7844014760212</c:v>
                </c:pt>
                <c:pt idx="84" formatCode="&quot;$&quot;#,##0.00">
                  <c:v>4633.9371217073203</c:v>
                </c:pt>
                <c:pt idx="85" formatCode="&quot;$&quot;#,##0.00">
                  <c:v>4442.4442605322802</c:v>
                </c:pt>
                <c:pt idx="86" formatCode="&quot;$&quot;#,##0.00">
                  <c:v>4235.7321425621358</c:v>
                </c:pt>
                <c:pt idx="87" formatCode="&quot;$&quot;#,##0.00">
                  <c:v>4326.8528316705333</c:v>
                </c:pt>
                <c:pt idx="88" formatCode="&quot;$&quot;#,##0.00">
                  <c:v>4560.055017381912</c:v>
                </c:pt>
                <c:pt idx="89" formatCode="&quot;$&quot;#,##0.00">
                  <c:v>5096.7977717581916</c:v>
                </c:pt>
                <c:pt idx="90" formatCode="&quot;$&quot;#,##0.00">
                  <c:v>5283.1665430640696</c:v>
                </c:pt>
                <c:pt idx="91" formatCode="&quot;$&quot;#,##0.00">
                  <c:v>4528.7890901984902</c:v>
                </c:pt>
                <c:pt idx="92" formatCode="&quot;$&quot;#,##0.00">
                  <c:v>4671.7635195697967</c:v>
                </c:pt>
                <c:pt idx="93" formatCode="&quot;$&quot;#,##0.00">
                  <c:v>4913.5398284850389</c:v>
                </c:pt>
                <c:pt idx="94" formatCode="&quot;$&quot;#,##0.00">
                  <c:v>4980.7684297405322</c:v>
                </c:pt>
                <c:pt idx="95" formatCode="&quot;$&quot;#,##0.00">
                  <c:v>4902.3689891459799</c:v>
                </c:pt>
                <c:pt idx="96" formatCode="&quot;$&quot;#,##0.00">
                  <c:v>5088.5533950246499</c:v>
                </c:pt>
                <c:pt idx="97" formatCode="&quot;$&quot;#,##0.00">
                  <c:v>4892.4092099228483</c:v>
                </c:pt>
                <c:pt idx="98" formatCode="&quot;$&quot;#,##0.00">
                  <c:v>4681.3306975267797</c:v>
                </c:pt>
                <c:pt idx="99" formatCode="&quot;$&quot;#,##0.00">
                  <c:v>4768.3422765335617</c:v>
                </c:pt>
                <c:pt idx="100" formatCode="&quot;$&quot;#,##0.00">
                  <c:v>4997.668645446548</c:v>
                </c:pt>
                <c:pt idx="101" formatCode="&quot;$&quot;#,##0.00">
                  <c:v>5530.7479341979679</c:v>
                </c:pt>
                <c:pt idx="102" formatCode="&quot;$&quot;#,##0.00">
                  <c:v>5713.6472119674363</c:v>
                </c:pt>
                <c:pt idx="103" formatCode="&quot;$&quot;#,##0.00">
                  <c:v>4955.969068174837</c:v>
                </c:pt>
                <c:pt idx="104" formatCode="&quot;$&quot;#,##0.00">
                  <c:v>5095.8156030358132</c:v>
                </c:pt>
                <c:pt idx="105" formatCode="&quot;$&quot;#,##0.00">
                  <c:v>5334.6146066812498</c:v>
                </c:pt>
                <c:pt idx="106" formatCode="&quot;$&quot;#,##0.00">
                  <c:v>5399.0050813065645</c:v>
                </c:pt>
                <c:pt idx="107" formatCode="&quot;$&quot;#,##0.00">
                  <c:v>5317.8964626668821</c:v>
                </c:pt>
                <c:pt idx="108" formatCode="&quot;$&quot;#,##0.00">
                  <c:v>5501.4914359769391</c:v>
                </c:pt>
                <c:pt idx="109" formatCode="&quot;$&quot;#,##0.00">
                  <c:v>5302.8692579267772</c:v>
                </c:pt>
                <c:pt idx="110" formatCode="&quot;$&quot;#,##0.00">
                  <c:v>5089.4166735069193</c:v>
                </c:pt>
                <c:pt idx="111" formatCode="&quot;$&quot;#,##0.00">
                  <c:v>5174.1512759607112</c:v>
                </c:pt>
                <c:pt idx="112" formatCode="&quot;$&quot;#,##0.00">
                  <c:v>5401.2915510828207</c:v>
                </c:pt>
                <c:pt idx="113" formatCode="&quot;$&quot;#,##0.00">
                  <c:v>5932.2699595448275</c:v>
                </c:pt>
                <c:pt idx="114" formatCode="&quot;$&quot;#,##0.00">
                  <c:v>6113.1483848105308</c:v>
                </c:pt>
                <c:pt idx="115" formatCode="&quot;$&quot;#,##0.00">
                  <c:v>5353.5192188112278</c:v>
                </c:pt>
                <c:pt idx="116" formatCode="&quot;$&quot;#,##0.00">
                  <c:v>5491.4912749681334</c:v>
                </c:pt>
                <c:pt idx="117" formatCode="&quot;$&quot;#,##0.00">
                  <c:v>5728.4826735795687</c:v>
                </c:pt>
                <c:pt idx="118" formatCode="&quot;$&quot;#,##0.00">
                  <c:v>5791.128708474429</c:v>
                </c:pt>
                <c:pt idx="119" formatCode="&quot;$&quot;#,##0.00">
                  <c:v>5708.3353884019343</c:v>
                </c:pt>
                <c:pt idx="120" formatCode="&quot;$&quot;#,##0.00">
                  <c:v>5890.3022259903782</c:v>
                </c:pt>
                <c:pt idx="121" formatCode="&quot;$&quot;#,##0.00">
                  <c:v>5690.1055359202837</c:v>
                </c:pt>
                <c:pt idx="122" formatCode="&quot;$&quot;#,##0.00">
                  <c:v>5475.1293305916088</c:v>
                </c:pt>
                <c:pt idx="123" formatCode="&quot;$&quot;#,##0.00">
                  <c:v>5558.3886612512861</c:v>
                </c:pt>
                <c:pt idx="124" formatCode="&quot;$&quot;#,##0.00">
                  <c:v>5784.0996455009772</c:v>
                </c:pt>
                <c:pt idx="125" formatCode="&quot;$&quot;#,##0.00">
                  <c:v>6313.6925346103935</c:v>
                </c:pt>
                <c:pt idx="126" formatCode="&quot;$&quot;#,##0.00">
                  <c:v>6493.2271479796664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CE-4A22-999D-D9216ED70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609536"/>
        <c:axId val="1130610976"/>
      </c:lineChart>
      <c:catAx>
        <c:axId val="113060953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10976"/>
        <c:crosses val="autoZero"/>
        <c:auto val="1"/>
        <c:lblAlgn val="ctr"/>
        <c:lblOffset val="100"/>
        <c:noMultiLvlLbl val="0"/>
      </c:catAx>
      <c:valAx>
        <c:axId val="11306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4</xdr:row>
      <xdr:rowOff>95250</xdr:rowOff>
    </xdr:from>
    <xdr:to>
      <xdr:col>6</xdr:col>
      <xdr:colOff>60325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E55E2-8BE9-A4FE-37C9-73CF71191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3239F-177C-437B-9C3C-66A81FA7BA92}" name="Table1" displayName="Table1" ref="A1:E128" totalsRowShown="0">
  <autoFilter ref="A1:E128" xr:uid="{CDF3239F-177C-437B-9C3C-66A81FA7BA92}"/>
  <tableColumns count="5">
    <tableColumn id="1" xr3:uid="{687E8A69-C088-43CA-9939-778AEB715576}" name="date" dataDxfId="3"/>
    <tableColumn id="2" xr3:uid="{9653394B-9A81-4720-9D7C-34F7E210A424}" name="monthly_retail_sales_aud_million"/>
    <tableColumn id="3" xr3:uid="{A36C1925-50A6-4738-BC09-22B5DEB4194B}" name="Forecast(monthly_retail_sales_aud_million)" dataDxfId="2">
      <calculatedColumnFormula>_xlfn.FORECAST.ETS(A2,$B$2:$B$68,$A$2:$A$68,1,1)</calculatedColumnFormula>
    </tableColumn>
    <tableColumn id="4" xr3:uid="{38E3F705-CB41-402F-84F9-232D8491686E}" name="Lower Confidence Bound(monthly_retail_sales_aud_million)" dataDxfId="1">
      <calculatedColumnFormula>C2-_xlfn.FORECAST.ETS.CONFINT(A2,$B$2:$B$68,$A$2:$A$68,0.95,1,1)</calculatedColumnFormula>
    </tableColumn>
    <tableColumn id="5" xr3:uid="{7E8C1557-A31F-4C97-9E76-6EA6D6EB21AF}" name="Upper Confidence Bound(monthly_retail_sales_aud_million)" dataDxfId="0">
      <calculatedColumnFormula>C2+_xlfn.FORECAST.ETS.CONFINT(A2,$B$2:$B$68,$A$2:$A$68,0.95,1,1)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workbookViewId="0">
      <selection activeCell="M13" sqref="M13"/>
    </sheetView>
  </sheetViews>
  <sheetFormatPr defaultRowHeight="14.5" x14ac:dyDescent="0.35"/>
  <cols>
    <col min="1" max="1" width="9.453125" style="5" bestFit="1" customWidth="1"/>
    <col min="2" max="3" width="8.7265625" style="4"/>
    <col min="4" max="4" width="29.54296875" style="7" bestFit="1" customWidth="1"/>
    <col min="5" max="5" width="8.7265625" style="4"/>
    <col min="6" max="6" width="22.54296875" style="4" bestFit="1" customWidth="1"/>
    <col min="7" max="7" width="28.36328125" style="4" bestFit="1" customWidth="1"/>
    <col min="8" max="8" width="12.54296875" style="4" bestFit="1" customWidth="1"/>
    <col min="9" max="9" width="19.90625" style="4" bestFit="1" customWidth="1"/>
    <col min="10" max="10" width="11.81640625" style="4" bestFit="1" customWidth="1"/>
    <col min="11" max="11" width="14.90625" style="4" bestFit="1" customWidth="1"/>
    <col min="12" max="12" width="8.7265625" style="4"/>
  </cols>
  <sheetData>
    <row r="1" spans="1:11" x14ac:dyDescent="0.35">
      <c r="A1" s="2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5">
        <v>43983</v>
      </c>
      <c r="B2" s="4">
        <v>2020</v>
      </c>
      <c r="C2" s="4">
        <v>6</v>
      </c>
      <c r="D2" s="7">
        <v>2213.6999999999998</v>
      </c>
      <c r="H2" s="4">
        <v>0</v>
      </c>
      <c r="I2" s="4">
        <v>0</v>
      </c>
      <c r="J2" s="4">
        <v>1</v>
      </c>
      <c r="K2" s="4">
        <v>0</v>
      </c>
    </row>
    <row r="3" spans="1:11" x14ac:dyDescent="0.35">
      <c r="A3" s="5">
        <v>44013</v>
      </c>
      <c r="B3" s="4">
        <v>2020</v>
      </c>
      <c r="C3" s="4">
        <v>7</v>
      </c>
      <c r="D3" s="7">
        <v>2245</v>
      </c>
      <c r="E3" s="4">
        <v>1.4138999999999999</v>
      </c>
      <c r="H3" s="4">
        <v>0</v>
      </c>
      <c r="I3" s="4">
        <v>0</v>
      </c>
      <c r="J3" s="4">
        <v>1</v>
      </c>
      <c r="K3" s="4">
        <v>0</v>
      </c>
    </row>
    <row r="4" spans="1:11" x14ac:dyDescent="0.35">
      <c r="A4" s="5">
        <v>44044</v>
      </c>
      <c r="B4" s="4">
        <v>2020</v>
      </c>
      <c r="C4" s="4">
        <v>8</v>
      </c>
      <c r="D4" s="7">
        <v>1928.2</v>
      </c>
      <c r="E4" s="4">
        <v>-14.1114</v>
      </c>
      <c r="G4" s="4">
        <v>2128.9666999999999</v>
      </c>
      <c r="H4" s="4">
        <v>0</v>
      </c>
      <c r="I4" s="4">
        <v>0</v>
      </c>
      <c r="J4" s="4">
        <v>0</v>
      </c>
      <c r="K4" s="4">
        <v>0</v>
      </c>
    </row>
    <row r="5" spans="1:11" x14ac:dyDescent="0.35">
      <c r="A5" s="5">
        <v>44075</v>
      </c>
      <c r="B5" s="4">
        <v>2020</v>
      </c>
      <c r="C5" s="4">
        <v>9</v>
      </c>
      <c r="D5" s="7">
        <v>1910.7</v>
      </c>
      <c r="E5" s="4">
        <v>-0.90759999999999996</v>
      </c>
      <c r="G5" s="4">
        <v>2027.9666999999999</v>
      </c>
      <c r="H5" s="4">
        <v>0</v>
      </c>
      <c r="I5" s="4">
        <v>0</v>
      </c>
      <c r="J5" s="4">
        <v>0</v>
      </c>
      <c r="K5" s="4">
        <v>0</v>
      </c>
    </row>
    <row r="6" spans="1:11" x14ac:dyDescent="0.35">
      <c r="A6" s="5">
        <v>44105</v>
      </c>
      <c r="B6" s="4">
        <v>2020</v>
      </c>
      <c r="C6" s="4">
        <v>10</v>
      </c>
      <c r="D6" s="7">
        <v>2024.2</v>
      </c>
      <c r="E6" s="4">
        <v>5.9401999999999999</v>
      </c>
      <c r="G6" s="4">
        <v>1954.3667</v>
      </c>
      <c r="H6" s="4">
        <v>0</v>
      </c>
      <c r="I6" s="4">
        <v>0</v>
      </c>
      <c r="J6" s="4">
        <v>0</v>
      </c>
      <c r="K6" s="4">
        <v>0</v>
      </c>
    </row>
    <row r="7" spans="1:11" x14ac:dyDescent="0.35">
      <c r="A7" s="5">
        <v>44136</v>
      </c>
      <c r="B7" s="4">
        <v>2020</v>
      </c>
      <c r="C7" s="4">
        <v>11</v>
      </c>
      <c r="D7" s="7">
        <v>2641</v>
      </c>
      <c r="E7" s="4">
        <v>30.471299999999999</v>
      </c>
      <c r="G7" s="4">
        <v>2191.9666999999999</v>
      </c>
      <c r="H7" s="4">
        <v>1</v>
      </c>
      <c r="I7" s="4">
        <v>1</v>
      </c>
      <c r="J7" s="4">
        <v>0</v>
      </c>
      <c r="K7" s="4">
        <v>0</v>
      </c>
    </row>
    <row r="8" spans="1:11" x14ac:dyDescent="0.35">
      <c r="A8" s="5">
        <v>44166</v>
      </c>
      <c r="B8" s="4">
        <v>2020</v>
      </c>
      <c r="C8" s="4">
        <v>12</v>
      </c>
      <c r="D8" s="7">
        <v>2888.4</v>
      </c>
      <c r="E8" s="4">
        <v>9.3676999999999992</v>
      </c>
      <c r="G8" s="4">
        <v>2517.8667</v>
      </c>
      <c r="H8" s="4">
        <v>1</v>
      </c>
      <c r="I8" s="4">
        <v>0</v>
      </c>
      <c r="J8" s="4">
        <v>0</v>
      </c>
      <c r="K8" s="4">
        <v>0</v>
      </c>
    </row>
    <row r="9" spans="1:11" x14ac:dyDescent="0.35">
      <c r="A9" s="5">
        <v>44197</v>
      </c>
      <c r="B9" s="4">
        <v>2021</v>
      </c>
      <c r="C9" s="4">
        <v>1</v>
      </c>
      <c r="D9" s="7">
        <v>2134.1</v>
      </c>
      <c r="E9" s="4">
        <v>-26.114799999999999</v>
      </c>
      <c r="G9" s="4">
        <v>2554.5</v>
      </c>
      <c r="H9" s="4">
        <v>0</v>
      </c>
      <c r="I9" s="4">
        <v>0</v>
      </c>
      <c r="J9" s="4">
        <v>0</v>
      </c>
      <c r="K9" s="4">
        <v>0</v>
      </c>
    </row>
    <row r="10" spans="1:11" x14ac:dyDescent="0.35">
      <c r="A10" s="5">
        <v>44228</v>
      </c>
      <c r="B10" s="4">
        <v>2021</v>
      </c>
      <c r="C10" s="4">
        <v>2</v>
      </c>
      <c r="D10" s="7">
        <v>2217.6999999999998</v>
      </c>
      <c r="E10" s="4">
        <v>3.9173</v>
      </c>
      <c r="G10" s="4">
        <v>2413.4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35">
      <c r="A11" s="5">
        <v>44256</v>
      </c>
      <c r="B11" s="4">
        <v>2021</v>
      </c>
      <c r="C11" s="4">
        <v>3</v>
      </c>
      <c r="D11" s="7">
        <v>2475.8000000000002</v>
      </c>
      <c r="E11" s="4">
        <v>11.638199999999999</v>
      </c>
      <c r="G11" s="4">
        <v>2275.8667</v>
      </c>
      <c r="H11" s="4">
        <v>0</v>
      </c>
      <c r="I11" s="4">
        <v>0</v>
      </c>
      <c r="J11" s="4">
        <v>0</v>
      </c>
      <c r="K11" s="4">
        <v>1</v>
      </c>
    </row>
    <row r="12" spans="1:11" x14ac:dyDescent="0.35">
      <c r="A12" s="5">
        <v>44287</v>
      </c>
      <c r="B12" s="4">
        <v>2021</v>
      </c>
      <c r="C12" s="4">
        <v>4</v>
      </c>
      <c r="D12" s="7">
        <v>2527.8000000000002</v>
      </c>
      <c r="E12" s="4">
        <v>2.1002999999999998</v>
      </c>
      <c r="G12" s="4">
        <v>2407.1</v>
      </c>
      <c r="H12" s="4">
        <v>0</v>
      </c>
      <c r="I12" s="4">
        <v>0</v>
      </c>
      <c r="J12" s="4">
        <v>0</v>
      </c>
      <c r="K12" s="4">
        <v>1</v>
      </c>
    </row>
    <row r="13" spans="1:11" x14ac:dyDescent="0.35">
      <c r="A13" s="5">
        <v>44317</v>
      </c>
      <c r="B13" s="4">
        <v>2021</v>
      </c>
      <c r="C13" s="4">
        <v>5</v>
      </c>
      <c r="D13" s="7">
        <v>2447</v>
      </c>
      <c r="E13" s="4">
        <v>-3.1964999999999999</v>
      </c>
      <c r="G13" s="4">
        <v>2483.5333000000001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35">
      <c r="A14" s="5">
        <v>44348</v>
      </c>
      <c r="B14" s="4">
        <v>2021</v>
      </c>
      <c r="C14" s="4">
        <v>6</v>
      </c>
      <c r="D14" s="7">
        <v>2435</v>
      </c>
      <c r="E14" s="4">
        <v>-0.4904</v>
      </c>
      <c r="F14" s="4">
        <v>9.9968000000000004</v>
      </c>
      <c r="G14" s="4">
        <v>2469.9333000000001</v>
      </c>
      <c r="H14" s="4">
        <v>0</v>
      </c>
      <c r="I14" s="4">
        <v>0</v>
      </c>
      <c r="J14" s="4">
        <v>1</v>
      </c>
      <c r="K14" s="4">
        <v>0</v>
      </c>
    </row>
    <row r="15" spans="1:11" x14ac:dyDescent="0.35">
      <c r="A15" s="5">
        <v>44378</v>
      </c>
      <c r="B15" s="4">
        <v>2021</v>
      </c>
      <c r="C15" s="4">
        <v>7</v>
      </c>
      <c r="D15" s="7">
        <v>2014.3</v>
      </c>
      <c r="E15" s="4">
        <v>-17.277200000000001</v>
      </c>
      <c r="F15" s="4">
        <v>-10.276199999999999</v>
      </c>
      <c r="G15" s="4">
        <v>2298.7667000000001</v>
      </c>
      <c r="H15" s="4">
        <v>0</v>
      </c>
      <c r="I15" s="4">
        <v>0</v>
      </c>
      <c r="J15" s="4">
        <v>1</v>
      </c>
      <c r="K15" s="4">
        <v>0</v>
      </c>
    </row>
    <row r="16" spans="1:11" x14ac:dyDescent="0.35">
      <c r="A16" s="5">
        <v>44409</v>
      </c>
      <c r="B16" s="4">
        <v>2021</v>
      </c>
      <c r="C16" s="4">
        <v>8</v>
      </c>
      <c r="D16" s="7">
        <v>1571.5</v>
      </c>
      <c r="E16" s="4">
        <v>-21.982800000000001</v>
      </c>
      <c r="F16" s="4">
        <v>-18.499099999999999</v>
      </c>
      <c r="G16" s="4">
        <v>2006.9332999999999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35">
      <c r="A17" s="5">
        <v>44440</v>
      </c>
      <c r="B17" s="4">
        <v>2021</v>
      </c>
      <c r="C17" s="4">
        <v>9</v>
      </c>
      <c r="D17" s="7">
        <v>1668.2</v>
      </c>
      <c r="E17" s="4">
        <v>6.1534000000000004</v>
      </c>
      <c r="F17" s="4">
        <v>-12.691700000000001</v>
      </c>
      <c r="G17" s="4">
        <v>1751.3333</v>
      </c>
      <c r="H17" s="4">
        <v>0</v>
      </c>
      <c r="I17" s="4">
        <v>0</v>
      </c>
      <c r="J17" s="4">
        <v>0</v>
      </c>
      <c r="K17" s="4">
        <v>0</v>
      </c>
    </row>
    <row r="18" spans="1:11" x14ac:dyDescent="0.35">
      <c r="A18" s="5">
        <v>44470</v>
      </c>
      <c r="B18" s="4">
        <v>2021</v>
      </c>
      <c r="C18" s="4">
        <v>10</v>
      </c>
      <c r="D18" s="7">
        <v>2188.8000000000002</v>
      </c>
      <c r="E18" s="4">
        <v>31.2073</v>
      </c>
      <c r="F18" s="4">
        <v>8.1316000000000006</v>
      </c>
      <c r="G18" s="4">
        <v>1809.5</v>
      </c>
      <c r="H18" s="4">
        <v>0</v>
      </c>
      <c r="I18" s="4">
        <v>0</v>
      </c>
      <c r="J18" s="4">
        <v>0</v>
      </c>
      <c r="K18" s="4">
        <v>0</v>
      </c>
    </row>
    <row r="19" spans="1:11" x14ac:dyDescent="0.35">
      <c r="A19" s="5">
        <v>44501</v>
      </c>
      <c r="B19" s="4">
        <v>2021</v>
      </c>
      <c r="C19" s="4">
        <v>11</v>
      </c>
      <c r="D19" s="7">
        <v>3032.8</v>
      </c>
      <c r="E19" s="4">
        <v>38.559899999999999</v>
      </c>
      <c r="F19" s="4">
        <v>14.8353</v>
      </c>
      <c r="G19" s="4">
        <v>2296.6</v>
      </c>
      <c r="H19" s="4">
        <v>1</v>
      </c>
      <c r="I19" s="4">
        <v>1</v>
      </c>
      <c r="J19" s="4">
        <v>0</v>
      </c>
      <c r="K19" s="4">
        <v>0</v>
      </c>
    </row>
    <row r="20" spans="1:11" x14ac:dyDescent="0.35">
      <c r="A20" s="5">
        <v>44531</v>
      </c>
      <c r="B20" s="4">
        <v>2021</v>
      </c>
      <c r="C20" s="4">
        <v>12</v>
      </c>
      <c r="D20" s="7">
        <v>3132.4</v>
      </c>
      <c r="E20" s="4">
        <v>3.2841</v>
      </c>
      <c r="F20" s="4">
        <v>8.4475999999999996</v>
      </c>
      <c r="G20" s="4">
        <v>2784.6667000000002</v>
      </c>
      <c r="H20" s="4">
        <v>1</v>
      </c>
      <c r="I20" s="4">
        <v>0</v>
      </c>
      <c r="J20" s="4">
        <v>0</v>
      </c>
      <c r="K20" s="4">
        <v>0</v>
      </c>
    </row>
    <row r="21" spans="1:11" x14ac:dyDescent="0.35">
      <c r="A21" s="5">
        <v>44562</v>
      </c>
      <c r="B21" s="4">
        <v>2022</v>
      </c>
      <c r="C21" s="4">
        <v>1</v>
      </c>
      <c r="D21" s="7">
        <v>2303.6</v>
      </c>
      <c r="E21" s="4">
        <v>-26.4589</v>
      </c>
      <c r="F21" s="4">
        <v>7.9424999999999999</v>
      </c>
      <c r="G21" s="4">
        <v>2822.9333000000001</v>
      </c>
      <c r="H21" s="4">
        <v>0</v>
      </c>
      <c r="I21" s="4">
        <v>0</v>
      </c>
      <c r="J21" s="4">
        <v>0</v>
      </c>
      <c r="K21" s="4">
        <v>0</v>
      </c>
    </row>
    <row r="22" spans="1:11" x14ac:dyDescent="0.35">
      <c r="A22" s="5">
        <v>44593</v>
      </c>
      <c r="B22" s="4">
        <v>2022</v>
      </c>
      <c r="C22" s="4">
        <v>2</v>
      </c>
      <c r="D22" s="7">
        <v>2601.6999999999998</v>
      </c>
      <c r="E22" s="4">
        <v>12.9406</v>
      </c>
      <c r="F22" s="4">
        <v>17.315200000000001</v>
      </c>
      <c r="G22" s="4">
        <v>2679.2332999999999</v>
      </c>
      <c r="H22" s="4">
        <v>0</v>
      </c>
      <c r="I22" s="4">
        <v>0</v>
      </c>
      <c r="J22" s="4">
        <v>0</v>
      </c>
      <c r="K22" s="4">
        <v>0</v>
      </c>
    </row>
    <row r="23" spans="1:11" x14ac:dyDescent="0.35">
      <c r="A23" s="5">
        <v>44621</v>
      </c>
      <c r="B23" s="4">
        <v>2022</v>
      </c>
      <c r="C23" s="4">
        <v>3</v>
      </c>
      <c r="D23" s="7">
        <v>2838.3</v>
      </c>
      <c r="E23" s="4">
        <v>9.0940999999999992</v>
      </c>
      <c r="F23" s="4">
        <v>14.6417</v>
      </c>
      <c r="G23" s="4">
        <v>2581.1999999999998</v>
      </c>
      <c r="H23" s="4">
        <v>0</v>
      </c>
      <c r="I23" s="4">
        <v>0</v>
      </c>
      <c r="J23" s="4">
        <v>0</v>
      </c>
      <c r="K23" s="4">
        <v>1</v>
      </c>
    </row>
    <row r="24" spans="1:11" x14ac:dyDescent="0.35">
      <c r="A24" s="5">
        <v>44652</v>
      </c>
      <c r="B24" s="4">
        <v>2022</v>
      </c>
      <c r="C24" s="4">
        <v>4</v>
      </c>
      <c r="D24" s="7">
        <v>2901.5</v>
      </c>
      <c r="E24" s="4">
        <v>2.2267000000000001</v>
      </c>
      <c r="F24" s="4">
        <v>14.7836</v>
      </c>
      <c r="G24" s="4">
        <v>2780.5</v>
      </c>
      <c r="H24" s="4">
        <v>0</v>
      </c>
      <c r="I24" s="4">
        <v>0</v>
      </c>
      <c r="J24" s="4">
        <v>0</v>
      </c>
      <c r="K24" s="4">
        <v>1</v>
      </c>
    </row>
    <row r="25" spans="1:11" x14ac:dyDescent="0.35">
      <c r="A25" s="5">
        <v>44682</v>
      </c>
      <c r="B25" s="4">
        <v>2022</v>
      </c>
      <c r="C25" s="4">
        <v>5</v>
      </c>
      <c r="D25" s="7">
        <v>2760.5</v>
      </c>
      <c r="E25" s="4">
        <v>-4.8596000000000004</v>
      </c>
      <c r="F25" s="4">
        <v>12.8116</v>
      </c>
      <c r="G25" s="4">
        <v>2833.4333000000001</v>
      </c>
      <c r="H25" s="4">
        <v>0</v>
      </c>
      <c r="I25" s="4">
        <v>0</v>
      </c>
      <c r="J25" s="4">
        <v>0</v>
      </c>
      <c r="K25" s="4">
        <v>0</v>
      </c>
    </row>
    <row r="26" spans="1:11" x14ac:dyDescent="0.35">
      <c r="A26" s="5">
        <v>44713</v>
      </c>
      <c r="B26" s="4">
        <v>2022</v>
      </c>
      <c r="C26" s="4">
        <v>6</v>
      </c>
      <c r="D26" s="7">
        <v>3088.8</v>
      </c>
      <c r="E26" s="4">
        <v>11.892799999999999</v>
      </c>
      <c r="F26" s="4">
        <v>26.850100000000001</v>
      </c>
      <c r="G26" s="4">
        <v>2916.9333000000001</v>
      </c>
      <c r="H26" s="4">
        <v>0</v>
      </c>
      <c r="I26" s="4">
        <v>0</v>
      </c>
      <c r="J26" s="4">
        <v>1</v>
      </c>
      <c r="K26" s="4">
        <v>0</v>
      </c>
    </row>
    <row r="27" spans="1:11" x14ac:dyDescent="0.35">
      <c r="A27" s="5">
        <v>44743</v>
      </c>
      <c r="B27" s="4">
        <v>2022</v>
      </c>
      <c r="C27" s="4">
        <v>7</v>
      </c>
      <c r="D27" s="7">
        <v>2989.4</v>
      </c>
      <c r="E27" s="4">
        <v>-3.2181000000000002</v>
      </c>
      <c r="F27" s="4">
        <v>48.408900000000003</v>
      </c>
      <c r="G27" s="4">
        <v>2946.2332999999999</v>
      </c>
      <c r="H27" s="4">
        <v>0</v>
      </c>
      <c r="I27" s="4">
        <v>0</v>
      </c>
      <c r="J27" s="4">
        <v>1</v>
      </c>
      <c r="K27" s="4">
        <v>0</v>
      </c>
    </row>
    <row r="28" spans="1:11" x14ac:dyDescent="0.35">
      <c r="A28" s="5">
        <v>44774</v>
      </c>
      <c r="B28" s="4">
        <v>2022</v>
      </c>
      <c r="C28" s="4">
        <v>8</v>
      </c>
      <c r="D28" s="7">
        <v>2847.2</v>
      </c>
      <c r="E28" s="4">
        <v>-4.7568000000000001</v>
      </c>
      <c r="F28" s="4">
        <v>81.177199999999999</v>
      </c>
      <c r="G28" s="4">
        <v>2975.1333</v>
      </c>
      <c r="H28" s="4">
        <v>0</v>
      </c>
      <c r="I28" s="4">
        <v>0</v>
      </c>
      <c r="J28" s="4">
        <v>0</v>
      </c>
      <c r="K28" s="4">
        <v>0</v>
      </c>
    </row>
    <row r="29" spans="1:11" x14ac:dyDescent="0.35">
      <c r="A29" s="5">
        <v>44805</v>
      </c>
      <c r="B29" s="4">
        <v>2022</v>
      </c>
      <c r="C29" s="4">
        <v>9</v>
      </c>
      <c r="D29" s="7">
        <v>2874.7</v>
      </c>
      <c r="E29" s="4">
        <v>0.96589999999999998</v>
      </c>
      <c r="F29" s="4">
        <v>72.323499999999996</v>
      </c>
      <c r="G29" s="4">
        <v>2903.7667000000001</v>
      </c>
      <c r="H29" s="4">
        <v>0</v>
      </c>
      <c r="I29" s="4">
        <v>0</v>
      </c>
      <c r="J29" s="4">
        <v>0</v>
      </c>
      <c r="K29" s="4">
        <v>0</v>
      </c>
    </row>
    <row r="30" spans="1:11" x14ac:dyDescent="0.35">
      <c r="A30" s="5">
        <v>44835</v>
      </c>
      <c r="B30" s="4">
        <v>2022</v>
      </c>
      <c r="C30" s="4">
        <v>10</v>
      </c>
      <c r="D30" s="7">
        <v>2930</v>
      </c>
      <c r="E30" s="4">
        <v>1.9237</v>
      </c>
      <c r="F30" s="4">
        <v>33.863300000000002</v>
      </c>
      <c r="G30" s="4">
        <v>2883.9666999999999</v>
      </c>
      <c r="H30" s="4">
        <v>0</v>
      </c>
      <c r="I30" s="4">
        <v>0</v>
      </c>
      <c r="J30" s="4">
        <v>0</v>
      </c>
      <c r="K30" s="4">
        <v>0</v>
      </c>
    </row>
    <row r="31" spans="1:11" x14ac:dyDescent="0.35">
      <c r="A31" s="5">
        <v>44866</v>
      </c>
      <c r="B31" s="4">
        <v>2022</v>
      </c>
      <c r="C31" s="4">
        <v>11</v>
      </c>
      <c r="D31" s="7">
        <v>3270.8</v>
      </c>
      <c r="E31" s="4">
        <v>11.631399999999999</v>
      </c>
      <c r="F31" s="4">
        <v>7.8475000000000001</v>
      </c>
      <c r="G31" s="4">
        <v>3025.1667000000002</v>
      </c>
      <c r="H31" s="4">
        <v>1</v>
      </c>
      <c r="I31" s="4">
        <v>1</v>
      </c>
      <c r="J31" s="4">
        <v>0</v>
      </c>
      <c r="K31" s="4">
        <v>0</v>
      </c>
    </row>
    <row r="32" spans="1:11" x14ac:dyDescent="0.35">
      <c r="A32" s="5">
        <v>44896</v>
      </c>
      <c r="B32" s="4">
        <v>2022</v>
      </c>
      <c r="C32" s="4">
        <v>12</v>
      </c>
      <c r="D32" s="7">
        <v>3434.8</v>
      </c>
      <c r="E32" s="4">
        <v>5.0141</v>
      </c>
      <c r="F32" s="4">
        <v>9.6539000000000001</v>
      </c>
      <c r="G32" s="4">
        <v>3211.8667</v>
      </c>
      <c r="H32" s="4">
        <v>1</v>
      </c>
      <c r="I32" s="4">
        <v>0</v>
      </c>
      <c r="J32" s="4">
        <v>0</v>
      </c>
      <c r="K32" s="4">
        <v>0</v>
      </c>
    </row>
    <row r="33" spans="1:11" x14ac:dyDescent="0.35">
      <c r="A33" s="5">
        <v>44927</v>
      </c>
      <c r="B33" s="4">
        <v>2023</v>
      </c>
      <c r="C33" s="4">
        <v>1</v>
      </c>
      <c r="D33" s="7">
        <v>2712.8</v>
      </c>
      <c r="E33" s="4">
        <v>-21.020099999999999</v>
      </c>
      <c r="F33" s="4">
        <v>17.763500000000001</v>
      </c>
      <c r="G33" s="4">
        <v>3139.4666999999999</v>
      </c>
      <c r="H33" s="4">
        <v>0</v>
      </c>
      <c r="I33" s="4">
        <v>0</v>
      </c>
      <c r="J33" s="4">
        <v>0</v>
      </c>
      <c r="K33" s="4">
        <v>0</v>
      </c>
    </row>
    <row r="34" spans="1:11" x14ac:dyDescent="0.35">
      <c r="A34" s="5">
        <v>44958</v>
      </c>
      <c r="B34" s="4">
        <v>2023</v>
      </c>
      <c r="C34" s="4">
        <v>2</v>
      </c>
      <c r="D34" s="7">
        <v>2742.7</v>
      </c>
      <c r="E34" s="4">
        <v>1.1022000000000001</v>
      </c>
      <c r="F34" s="4">
        <v>5.4195000000000002</v>
      </c>
      <c r="G34" s="4">
        <v>2963.4333000000001</v>
      </c>
      <c r="H34" s="4">
        <v>0</v>
      </c>
      <c r="I34" s="4">
        <v>0</v>
      </c>
      <c r="J34" s="4">
        <v>0</v>
      </c>
      <c r="K34" s="4">
        <v>0</v>
      </c>
    </row>
    <row r="35" spans="1:11" x14ac:dyDescent="0.35">
      <c r="A35" s="5">
        <v>44986</v>
      </c>
      <c r="B35" s="4">
        <v>2023</v>
      </c>
      <c r="C35" s="4">
        <v>3</v>
      </c>
      <c r="D35" s="7">
        <v>2956.9</v>
      </c>
      <c r="E35" s="4">
        <v>7.8098000000000001</v>
      </c>
      <c r="F35" s="4">
        <v>4.1786000000000003</v>
      </c>
      <c r="G35" s="4">
        <v>2804.1333</v>
      </c>
      <c r="H35" s="4">
        <v>0</v>
      </c>
      <c r="I35" s="4">
        <v>0</v>
      </c>
      <c r="J35" s="4">
        <v>0</v>
      </c>
      <c r="K35" s="4">
        <v>1</v>
      </c>
    </row>
    <row r="36" spans="1:11" x14ac:dyDescent="0.35">
      <c r="A36" s="5">
        <v>45017</v>
      </c>
      <c r="B36" s="4">
        <v>2023</v>
      </c>
      <c r="C36" s="4">
        <v>4</v>
      </c>
      <c r="D36" s="7">
        <v>3002.4</v>
      </c>
      <c r="E36" s="4">
        <v>1.5387999999999999</v>
      </c>
      <c r="F36" s="4">
        <v>3.4775</v>
      </c>
      <c r="G36" s="4">
        <v>2900.6667000000002</v>
      </c>
      <c r="H36" s="4">
        <v>0</v>
      </c>
      <c r="I36" s="4">
        <v>0</v>
      </c>
      <c r="J36" s="4">
        <v>0</v>
      </c>
      <c r="K36" s="4">
        <v>1</v>
      </c>
    </row>
    <row r="37" spans="1:11" x14ac:dyDescent="0.35">
      <c r="A37" s="5">
        <v>45047</v>
      </c>
      <c r="B37" s="4">
        <v>2023</v>
      </c>
      <c r="C37" s="4">
        <v>5</v>
      </c>
      <c r="D37" s="7">
        <v>2914.7</v>
      </c>
      <c r="E37" s="4">
        <v>-2.9209999999999998</v>
      </c>
      <c r="F37" s="4">
        <v>5.5858999999999996</v>
      </c>
      <c r="G37" s="4">
        <v>2958</v>
      </c>
      <c r="H37" s="4">
        <v>0</v>
      </c>
      <c r="I37" s="4">
        <v>0</v>
      </c>
      <c r="J37" s="4">
        <v>0</v>
      </c>
      <c r="K37" s="4">
        <v>0</v>
      </c>
    </row>
    <row r="38" spans="1:11" x14ac:dyDescent="0.35">
      <c r="A38" s="5">
        <v>45078</v>
      </c>
      <c r="B38" s="4">
        <v>2023</v>
      </c>
      <c r="C38" s="4">
        <v>6</v>
      </c>
      <c r="D38" s="7">
        <v>3083.3</v>
      </c>
      <c r="E38" s="4">
        <v>5.7845000000000004</v>
      </c>
      <c r="F38" s="4">
        <v>-0.17810000000000001</v>
      </c>
      <c r="G38" s="4">
        <v>3000.1333</v>
      </c>
      <c r="H38" s="4">
        <v>0</v>
      </c>
      <c r="I38" s="4">
        <v>0</v>
      </c>
      <c r="J38" s="4">
        <v>1</v>
      </c>
      <c r="K38" s="4">
        <v>0</v>
      </c>
    </row>
    <row r="39" spans="1:11" x14ac:dyDescent="0.35">
      <c r="A39" s="5">
        <v>45108</v>
      </c>
      <c r="B39" s="4">
        <v>2023</v>
      </c>
      <c r="C39" s="4">
        <v>7</v>
      </c>
      <c r="D39" s="7">
        <v>2950.5</v>
      </c>
      <c r="E39" s="4">
        <v>-4.3071000000000002</v>
      </c>
      <c r="F39" s="4">
        <v>-1.3012999999999999</v>
      </c>
      <c r="G39" s="4">
        <v>2982.8332999999998</v>
      </c>
      <c r="H39" s="4">
        <v>0</v>
      </c>
      <c r="I39" s="4">
        <v>0</v>
      </c>
      <c r="J39" s="4">
        <v>1</v>
      </c>
      <c r="K39" s="4">
        <v>0</v>
      </c>
    </row>
    <row r="40" spans="1:11" x14ac:dyDescent="0.35">
      <c r="A40" s="5">
        <v>45139</v>
      </c>
      <c r="B40" s="4">
        <v>2023</v>
      </c>
      <c r="C40" s="4">
        <v>8</v>
      </c>
      <c r="D40" s="7">
        <v>2835.2</v>
      </c>
      <c r="E40" s="4">
        <v>-3.9077999999999999</v>
      </c>
      <c r="F40" s="4">
        <v>-0.42149999999999999</v>
      </c>
      <c r="G40" s="4">
        <v>2956.3332999999998</v>
      </c>
      <c r="H40" s="4">
        <v>0</v>
      </c>
      <c r="I40" s="4">
        <v>0</v>
      </c>
      <c r="J40" s="4">
        <v>0</v>
      </c>
      <c r="K40" s="4">
        <v>0</v>
      </c>
    </row>
    <row r="41" spans="1:11" x14ac:dyDescent="0.35">
      <c r="A41" s="5">
        <v>45170</v>
      </c>
      <c r="B41" s="4">
        <v>2023</v>
      </c>
      <c r="C41" s="4">
        <v>9</v>
      </c>
      <c r="D41" s="7">
        <v>2902.5</v>
      </c>
      <c r="E41" s="4">
        <v>2.3736999999999999</v>
      </c>
      <c r="F41" s="4">
        <v>0.96709999999999996</v>
      </c>
      <c r="G41" s="4">
        <v>2896.0666999999999</v>
      </c>
      <c r="H41" s="4">
        <v>0</v>
      </c>
      <c r="I41" s="4">
        <v>0</v>
      </c>
      <c r="J41" s="4">
        <v>0</v>
      </c>
      <c r="K41" s="4">
        <v>0</v>
      </c>
    </row>
    <row r="42" spans="1:11" x14ac:dyDescent="0.35">
      <c r="A42" s="5">
        <v>45200</v>
      </c>
      <c r="B42" s="4">
        <v>2023</v>
      </c>
      <c r="C42" s="4">
        <v>10</v>
      </c>
      <c r="D42" s="7">
        <v>2930.6</v>
      </c>
      <c r="E42" s="4">
        <v>0.96809999999999996</v>
      </c>
      <c r="F42" s="4">
        <v>2.0500000000000001E-2</v>
      </c>
      <c r="G42" s="4">
        <v>2889.4333000000001</v>
      </c>
      <c r="H42" s="4">
        <v>0</v>
      </c>
      <c r="I42" s="4">
        <v>0</v>
      </c>
      <c r="J42" s="4">
        <v>0</v>
      </c>
      <c r="K42" s="4">
        <v>0</v>
      </c>
    </row>
    <row r="43" spans="1:11" x14ac:dyDescent="0.35">
      <c r="A43" s="5">
        <v>45231</v>
      </c>
      <c r="B43" s="4">
        <v>2023</v>
      </c>
      <c r="C43" s="4">
        <v>11</v>
      </c>
      <c r="D43" s="7">
        <v>3251.6</v>
      </c>
      <c r="E43" s="4">
        <v>10.9534</v>
      </c>
      <c r="F43" s="4">
        <v>-0.58699999999999997</v>
      </c>
      <c r="G43" s="4">
        <v>3028.2332999999999</v>
      </c>
      <c r="H43" s="4">
        <v>1</v>
      </c>
      <c r="I43" s="4">
        <v>1</v>
      </c>
      <c r="J43" s="4">
        <v>0</v>
      </c>
      <c r="K43" s="4">
        <v>0</v>
      </c>
    </row>
    <row r="44" spans="1:11" x14ac:dyDescent="0.35">
      <c r="A44" s="5">
        <v>45261</v>
      </c>
      <c r="B44" s="4">
        <v>2023</v>
      </c>
      <c r="C44" s="4">
        <v>12</v>
      </c>
      <c r="D44" s="7">
        <v>3338.6</v>
      </c>
      <c r="E44" s="4">
        <v>2.6756000000000002</v>
      </c>
      <c r="F44" s="4">
        <v>-2.8007</v>
      </c>
      <c r="G44" s="4">
        <v>3173.6</v>
      </c>
      <c r="H44" s="4">
        <v>1</v>
      </c>
      <c r="I44" s="4">
        <v>0</v>
      </c>
      <c r="J44" s="4">
        <v>0</v>
      </c>
      <c r="K44" s="4">
        <v>0</v>
      </c>
    </row>
    <row r="45" spans="1:11" x14ac:dyDescent="0.35">
      <c r="A45" s="5">
        <v>45292</v>
      </c>
      <c r="B45" s="4">
        <v>2024</v>
      </c>
      <c r="C45" s="4">
        <v>1</v>
      </c>
      <c r="D45" s="7">
        <v>2690.6</v>
      </c>
      <c r="E45" s="4">
        <v>-19.409300000000002</v>
      </c>
      <c r="F45" s="4">
        <v>-0.81830000000000003</v>
      </c>
      <c r="G45" s="4">
        <v>3093.6</v>
      </c>
      <c r="H45" s="4">
        <v>0</v>
      </c>
      <c r="I45" s="4">
        <v>0</v>
      </c>
      <c r="J45" s="4">
        <v>0</v>
      </c>
      <c r="K45" s="4">
        <v>0</v>
      </c>
    </row>
    <row r="46" spans="1:11" x14ac:dyDescent="0.35">
      <c r="A46" s="5">
        <v>45323</v>
      </c>
      <c r="B46" s="4">
        <v>2024</v>
      </c>
      <c r="C46" s="4">
        <v>2</v>
      </c>
      <c r="D46" s="7">
        <v>2870.7</v>
      </c>
      <c r="E46" s="4">
        <v>6.6936999999999998</v>
      </c>
      <c r="F46" s="4">
        <v>4.6669</v>
      </c>
      <c r="G46" s="4">
        <v>2966.6333</v>
      </c>
      <c r="H46" s="4">
        <v>0</v>
      </c>
      <c r="I46" s="4">
        <v>0</v>
      </c>
      <c r="J46" s="4">
        <v>0</v>
      </c>
      <c r="K46" s="4">
        <v>0</v>
      </c>
    </row>
    <row r="47" spans="1:11" x14ac:dyDescent="0.35">
      <c r="A47" s="5">
        <v>45352</v>
      </c>
      <c r="B47" s="4">
        <v>2024</v>
      </c>
      <c r="C47" s="4">
        <v>3</v>
      </c>
      <c r="D47" s="7">
        <v>2974.6</v>
      </c>
      <c r="E47" s="4">
        <v>3.6193</v>
      </c>
      <c r="F47" s="4">
        <v>0.59860000000000002</v>
      </c>
      <c r="G47" s="4">
        <v>2845.3</v>
      </c>
      <c r="H47" s="4">
        <v>0</v>
      </c>
      <c r="I47" s="4">
        <v>0</v>
      </c>
      <c r="J47" s="4">
        <v>0</v>
      </c>
      <c r="K47" s="4">
        <v>1</v>
      </c>
    </row>
    <row r="48" spans="1:11" x14ac:dyDescent="0.35">
      <c r="A48" s="5">
        <v>45383</v>
      </c>
      <c r="B48" s="4">
        <v>2024</v>
      </c>
      <c r="C48" s="4">
        <v>4</v>
      </c>
      <c r="D48" s="7">
        <v>2957.4</v>
      </c>
      <c r="E48" s="4">
        <v>-0.57820000000000005</v>
      </c>
      <c r="F48" s="4">
        <v>-1.4987999999999999</v>
      </c>
      <c r="G48" s="4">
        <v>2934.2332999999999</v>
      </c>
      <c r="H48" s="4">
        <v>0</v>
      </c>
      <c r="I48" s="4">
        <v>0</v>
      </c>
      <c r="J48" s="4">
        <v>0</v>
      </c>
      <c r="K48" s="4">
        <v>1</v>
      </c>
    </row>
    <row r="49" spans="1:11" x14ac:dyDescent="0.35">
      <c r="A49" s="5">
        <v>45413</v>
      </c>
      <c r="B49" s="4">
        <v>2024</v>
      </c>
      <c r="C49" s="4">
        <v>5</v>
      </c>
      <c r="D49" s="7">
        <v>2879</v>
      </c>
      <c r="E49" s="4">
        <v>-2.6509999999999998</v>
      </c>
      <c r="F49" s="4">
        <v>-1.2248000000000001</v>
      </c>
      <c r="G49" s="4">
        <v>2937</v>
      </c>
      <c r="H49" s="4">
        <v>0</v>
      </c>
      <c r="I49" s="4">
        <v>0</v>
      </c>
      <c r="J49" s="4">
        <v>0</v>
      </c>
      <c r="K49" s="4">
        <v>0</v>
      </c>
    </row>
    <row r="50" spans="1:11" x14ac:dyDescent="0.35">
      <c r="A50" s="5">
        <v>45444</v>
      </c>
      <c r="B50" s="4">
        <v>2024</v>
      </c>
      <c r="C50" s="4">
        <v>6</v>
      </c>
      <c r="D50" s="7">
        <v>3172.1</v>
      </c>
      <c r="E50" s="4">
        <v>10.1806</v>
      </c>
      <c r="F50" s="4">
        <v>2.88</v>
      </c>
      <c r="G50" s="4">
        <v>3002.8332999999998</v>
      </c>
      <c r="H50" s="4">
        <v>0</v>
      </c>
      <c r="I50" s="4">
        <v>0</v>
      </c>
      <c r="J50" s="4">
        <v>1</v>
      </c>
      <c r="K50" s="4">
        <v>0</v>
      </c>
    </row>
    <row r="51" spans="1:11" x14ac:dyDescent="0.35">
      <c r="A51" s="5">
        <v>45474</v>
      </c>
      <c r="B51" s="4">
        <v>2024</v>
      </c>
      <c r="C51" s="4">
        <v>7</v>
      </c>
      <c r="D51" s="7">
        <v>3018.5</v>
      </c>
      <c r="E51" s="4">
        <v>-4.8422000000000001</v>
      </c>
      <c r="F51" s="4">
        <v>2.3047</v>
      </c>
      <c r="G51" s="4">
        <v>3023.2</v>
      </c>
      <c r="H51" s="4">
        <v>0</v>
      </c>
      <c r="I51" s="4">
        <v>0</v>
      </c>
      <c r="J51" s="4">
        <v>1</v>
      </c>
      <c r="K51" s="4">
        <v>0</v>
      </c>
    </row>
    <row r="52" spans="1:11" x14ac:dyDescent="0.35">
      <c r="A52" s="5">
        <v>45505</v>
      </c>
      <c r="B52" s="4">
        <v>2024</v>
      </c>
      <c r="C52" s="4">
        <v>8</v>
      </c>
      <c r="D52" s="7">
        <v>2919.8</v>
      </c>
      <c r="E52" s="4">
        <v>-3.2698</v>
      </c>
      <c r="F52" s="4">
        <v>2.9839000000000002</v>
      </c>
      <c r="G52" s="4">
        <v>3036.8</v>
      </c>
      <c r="H52" s="4">
        <v>0</v>
      </c>
      <c r="I52" s="4">
        <v>0</v>
      </c>
      <c r="J52" s="4">
        <v>0</v>
      </c>
      <c r="K52" s="4">
        <v>0</v>
      </c>
    </row>
    <row r="53" spans="1:11" x14ac:dyDescent="0.35">
      <c r="A53" s="5">
        <v>45536</v>
      </c>
      <c r="B53" s="4">
        <v>2024</v>
      </c>
      <c r="C53" s="4">
        <v>9</v>
      </c>
      <c r="D53" s="7">
        <v>2928.9</v>
      </c>
      <c r="E53" s="4">
        <v>0.31169999999999998</v>
      </c>
      <c r="F53" s="4">
        <v>0.90959999999999996</v>
      </c>
      <c r="G53" s="4">
        <v>2955.7332999999999</v>
      </c>
      <c r="H53" s="4">
        <v>0</v>
      </c>
      <c r="I53" s="4">
        <v>0</v>
      </c>
      <c r="J53" s="4">
        <v>0</v>
      </c>
      <c r="K53" s="4">
        <v>0</v>
      </c>
    </row>
    <row r="54" spans="1:11" x14ac:dyDescent="0.35">
      <c r="A54" s="5">
        <v>45566</v>
      </c>
      <c r="B54" s="4">
        <v>2024</v>
      </c>
      <c r="C54" s="4">
        <v>10</v>
      </c>
      <c r="D54" s="7">
        <v>2902.7</v>
      </c>
      <c r="E54" s="4">
        <v>-0.89449999999999996</v>
      </c>
      <c r="F54" s="4">
        <v>-0.95199999999999996</v>
      </c>
      <c r="G54" s="4">
        <v>2917.1333</v>
      </c>
      <c r="H54" s="4">
        <v>0</v>
      </c>
      <c r="I54" s="4">
        <v>0</v>
      </c>
      <c r="J54" s="4">
        <v>0</v>
      </c>
      <c r="K54" s="4">
        <v>0</v>
      </c>
    </row>
    <row r="55" spans="1:11" x14ac:dyDescent="0.35">
      <c r="A55" s="5">
        <v>45597</v>
      </c>
      <c r="B55" s="4">
        <v>2024</v>
      </c>
      <c r="C55" s="4">
        <v>11</v>
      </c>
      <c r="D55" s="7">
        <v>3276.7</v>
      </c>
      <c r="E55" s="4">
        <v>12.884600000000001</v>
      </c>
      <c r="F55" s="4">
        <v>0.77190000000000003</v>
      </c>
      <c r="G55" s="4">
        <v>3036.1</v>
      </c>
      <c r="H55" s="4">
        <v>1</v>
      </c>
      <c r="I55" s="4">
        <v>1</v>
      </c>
      <c r="J55" s="4">
        <v>0</v>
      </c>
      <c r="K55" s="4">
        <v>0</v>
      </c>
    </row>
    <row r="56" spans="1:11" x14ac:dyDescent="0.35">
      <c r="A56" s="5">
        <v>45627</v>
      </c>
      <c r="B56" s="4">
        <v>2024</v>
      </c>
      <c r="C56" s="4">
        <v>12</v>
      </c>
      <c r="D56" s="7">
        <v>3509</v>
      </c>
      <c r="E56" s="4">
        <v>7.0894000000000004</v>
      </c>
      <c r="F56" s="4">
        <v>5.1039000000000003</v>
      </c>
      <c r="G56" s="4">
        <v>3229.4666999999999</v>
      </c>
      <c r="H56" s="4">
        <v>1</v>
      </c>
      <c r="I56" s="4">
        <v>0</v>
      </c>
      <c r="J56" s="4">
        <v>0</v>
      </c>
      <c r="K56" s="4">
        <v>0</v>
      </c>
    </row>
    <row r="57" spans="1:11" x14ac:dyDescent="0.35">
      <c r="A57" s="5">
        <v>45658</v>
      </c>
      <c r="B57" s="4">
        <v>2025</v>
      </c>
      <c r="C57" s="4">
        <v>1</v>
      </c>
      <c r="D57" s="7">
        <v>2787.2</v>
      </c>
      <c r="E57" s="4">
        <v>-20.57</v>
      </c>
      <c r="F57" s="4">
        <v>3.5903</v>
      </c>
      <c r="G57" s="4">
        <v>3190.9666999999999</v>
      </c>
      <c r="H57" s="4">
        <v>0</v>
      </c>
      <c r="I57" s="4">
        <v>0</v>
      </c>
      <c r="J57" s="4">
        <v>0</v>
      </c>
      <c r="K57" s="4">
        <v>0</v>
      </c>
    </row>
    <row r="58" spans="1:11" x14ac:dyDescent="0.35">
      <c r="A58" s="5">
        <v>45689</v>
      </c>
      <c r="B58" s="4">
        <v>2025</v>
      </c>
      <c r="C58" s="4">
        <v>2</v>
      </c>
      <c r="D58" s="7">
        <v>2871.2</v>
      </c>
      <c r="E58" s="4">
        <v>3.0137999999999998</v>
      </c>
      <c r="F58" s="4">
        <v>1.7399999999999999E-2</v>
      </c>
      <c r="G58" s="4">
        <v>3055.8</v>
      </c>
      <c r="H58" s="4">
        <v>0</v>
      </c>
      <c r="I58" s="4">
        <v>0</v>
      </c>
      <c r="J58" s="4">
        <v>0</v>
      </c>
      <c r="K58" s="4">
        <v>0</v>
      </c>
    </row>
    <row r="59" spans="1:11" x14ac:dyDescent="0.35">
      <c r="A59" s="5">
        <v>45717</v>
      </c>
      <c r="B59" s="4">
        <v>2025</v>
      </c>
      <c r="C59" s="4">
        <v>3</v>
      </c>
      <c r="D59" s="7">
        <v>3172</v>
      </c>
      <c r="E59" s="4">
        <v>10.4765</v>
      </c>
      <c r="F59" s="4">
        <v>6.6361999999999997</v>
      </c>
      <c r="G59" s="4">
        <v>2943.4666999999999</v>
      </c>
      <c r="H59" s="4">
        <v>0</v>
      </c>
      <c r="I59" s="4">
        <v>0</v>
      </c>
      <c r="J59" s="4">
        <v>0</v>
      </c>
      <c r="K59" s="4">
        <v>1</v>
      </c>
    </row>
    <row r="60" spans="1:11" x14ac:dyDescent="0.35">
      <c r="A60" s="5">
        <v>45748</v>
      </c>
      <c r="B60" s="4">
        <v>2025</v>
      </c>
      <c r="C60" s="4">
        <v>4</v>
      </c>
      <c r="D60" s="7">
        <v>2941</v>
      </c>
      <c r="E60" s="4">
        <v>-7.2824999999999998</v>
      </c>
      <c r="F60" s="4">
        <v>-0.55449999999999999</v>
      </c>
      <c r="G60" s="4">
        <v>2994.7332999999999</v>
      </c>
      <c r="H60" s="4">
        <v>0</v>
      </c>
      <c r="I60" s="4">
        <v>0</v>
      </c>
      <c r="J60" s="4">
        <v>0</v>
      </c>
      <c r="K60" s="4">
        <v>1</v>
      </c>
    </row>
    <row r="61" spans="1:11" x14ac:dyDescent="0.35">
      <c r="A61" s="5">
        <v>45778</v>
      </c>
      <c r="B61" s="4">
        <v>2025</v>
      </c>
      <c r="C61" s="4">
        <v>5</v>
      </c>
      <c r="D61" s="7">
        <v>3021.2</v>
      </c>
      <c r="E61" s="4">
        <v>2.7269999999999999</v>
      </c>
      <c r="F61" s="4">
        <v>4.9391999999999996</v>
      </c>
      <c r="G61" s="4">
        <v>3044.7332999999999</v>
      </c>
      <c r="H61" s="4">
        <v>0</v>
      </c>
      <c r="I61" s="4">
        <v>0</v>
      </c>
      <c r="J61" s="4">
        <v>0</v>
      </c>
      <c r="K61" s="4">
        <v>0</v>
      </c>
    </row>
    <row r="62" spans="1:11" x14ac:dyDescent="0.35">
      <c r="A62" s="5">
        <v>45809</v>
      </c>
      <c r="B62" s="4">
        <v>2025</v>
      </c>
      <c r="C62" s="4">
        <v>6</v>
      </c>
      <c r="D62" s="7">
        <v>3267.4</v>
      </c>
      <c r="E62" s="4">
        <v>8.1491000000000007</v>
      </c>
      <c r="F62" s="4">
        <v>3.0043000000000002</v>
      </c>
      <c r="G62" s="4">
        <v>3076.5333000000001</v>
      </c>
      <c r="H62" s="4">
        <v>0</v>
      </c>
      <c r="I62" s="4">
        <v>0</v>
      </c>
      <c r="J62" s="4">
        <v>1</v>
      </c>
      <c r="K62" s="4">
        <v>0</v>
      </c>
    </row>
    <row r="63" spans="1:11" x14ac:dyDescent="0.35">
      <c r="A63" s="5">
        <v>45839</v>
      </c>
      <c r="B63" s="4">
        <v>2025</v>
      </c>
      <c r="C63" s="4">
        <v>7</v>
      </c>
      <c r="D63" s="7">
        <v>3200</v>
      </c>
      <c r="E63" s="4">
        <v>-2.0628000000000002</v>
      </c>
      <c r="F63" s="4">
        <v>6.0129000000000001</v>
      </c>
      <c r="G63" s="4">
        <v>3162.8667</v>
      </c>
      <c r="H63" s="4">
        <v>0</v>
      </c>
      <c r="I63" s="4">
        <v>0</v>
      </c>
      <c r="J63" s="4">
        <v>1</v>
      </c>
      <c r="K63" s="4">
        <v>0</v>
      </c>
    </row>
    <row r="64" spans="1:11" x14ac:dyDescent="0.35">
      <c r="A64" s="5">
        <v>45870</v>
      </c>
      <c r="B64" s="4">
        <v>2025</v>
      </c>
      <c r="C64" s="4">
        <v>8</v>
      </c>
      <c r="D64" s="7">
        <v>3094.6</v>
      </c>
      <c r="E64" s="4">
        <v>-3.2938000000000001</v>
      </c>
      <c r="F64" s="4">
        <v>5.9866999999999999</v>
      </c>
      <c r="G64" s="4">
        <v>3187.3332999999998</v>
      </c>
      <c r="H64" s="4">
        <v>0</v>
      </c>
      <c r="I64" s="4">
        <v>0</v>
      </c>
      <c r="J64" s="4">
        <v>0</v>
      </c>
      <c r="K64" s="4">
        <v>0</v>
      </c>
    </row>
    <row r="65" spans="1:11" x14ac:dyDescent="0.35">
      <c r="A65" s="5">
        <v>45901</v>
      </c>
      <c r="B65" s="4">
        <v>2025</v>
      </c>
      <c r="C65" s="4">
        <v>9</v>
      </c>
      <c r="D65" s="7">
        <v>3139.4</v>
      </c>
      <c r="E65" s="4">
        <v>1.4477</v>
      </c>
      <c r="F65" s="4">
        <v>7.1870000000000003</v>
      </c>
      <c r="G65" s="4">
        <v>3144.6667000000002</v>
      </c>
      <c r="H65" s="4">
        <v>0</v>
      </c>
      <c r="I65" s="4">
        <v>0</v>
      </c>
      <c r="J65" s="4">
        <v>0</v>
      </c>
      <c r="K65" s="4">
        <v>0</v>
      </c>
    </row>
    <row r="66" spans="1:11" x14ac:dyDescent="0.35">
      <c r="A66" s="5">
        <v>45931</v>
      </c>
      <c r="B66" s="4">
        <v>2025</v>
      </c>
      <c r="C66" s="4">
        <v>10</v>
      </c>
      <c r="D66" s="7">
        <v>3237</v>
      </c>
      <c r="E66" s="4">
        <v>3.1089000000000002</v>
      </c>
      <c r="F66" s="4">
        <v>11.5169</v>
      </c>
      <c r="G66" s="4">
        <v>3157</v>
      </c>
      <c r="H66" s="4">
        <v>0</v>
      </c>
      <c r="I66" s="4">
        <v>0</v>
      </c>
      <c r="J66" s="4">
        <v>0</v>
      </c>
      <c r="K66" s="4">
        <v>0</v>
      </c>
    </row>
    <row r="67" spans="1:11" x14ac:dyDescent="0.35">
      <c r="A67" s="5">
        <v>45962</v>
      </c>
      <c r="B67" s="4">
        <v>2025</v>
      </c>
      <c r="C67" s="4">
        <v>11</v>
      </c>
      <c r="D67" s="7">
        <v>3591.1</v>
      </c>
      <c r="E67" s="4">
        <v>10.9391</v>
      </c>
      <c r="F67" s="4">
        <v>9.5950000000000006</v>
      </c>
      <c r="G67" s="4">
        <v>3322.5</v>
      </c>
      <c r="H67" s="4">
        <v>1</v>
      </c>
      <c r="I67" s="4">
        <v>1</v>
      </c>
      <c r="J67" s="4">
        <v>0</v>
      </c>
      <c r="K67" s="4">
        <v>0</v>
      </c>
    </row>
    <row r="68" spans="1:11" x14ac:dyDescent="0.35">
      <c r="A68" s="5">
        <v>45992</v>
      </c>
      <c r="B68" s="4">
        <v>2025</v>
      </c>
      <c r="C68" s="4">
        <v>12</v>
      </c>
      <c r="D68" s="7">
        <v>3894.8</v>
      </c>
      <c r="E68" s="4">
        <v>8.4570000000000007</v>
      </c>
      <c r="F68" s="4">
        <v>10.9946</v>
      </c>
      <c r="G68" s="4">
        <v>3574.3</v>
      </c>
      <c r="H68" s="4">
        <v>1</v>
      </c>
      <c r="I68" s="4">
        <v>0</v>
      </c>
      <c r="J68" s="4">
        <v>0</v>
      </c>
      <c r="K68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6F56-27FB-45FF-93B3-C653E8282F75}">
  <dimension ref="A1:E128"/>
  <sheetViews>
    <sheetView tabSelected="1" topLeftCell="B1" zoomScale="74" workbookViewId="0"/>
  </sheetViews>
  <sheetFormatPr defaultRowHeight="14.5" x14ac:dyDescent="0.35"/>
  <cols>
    <col min="1" max="1" width="9.453125" bestFit="1" customWidth="1"/>
    <col min="2" max="2" width="31.08984375" customWidth="1"/>
    <col min="3" max="3" width="39.453125" customWidth="1"/>
    <col min="4" max="5" width="46.7265625" customWidth="1"/>
  </cols>
  <sheetData>
    <row r="1" spans="1:5" x14ac:dyDescent="0.35">
      <c r="A1" t="s">
        <v>0</v>
      </c>
      <c r="B1" t="s">
        <v>3</v>
      </c>
      <c r="C1" t="s">
        <v>11</v>
      </c>
      <c r="D1" t="s">
        <v>12</v>
      </c>
      <c r="E1" t="s">
        <v>13</v>
      </c>
    </row>
    <row r="2" spans="1:5" x14ac:dyDescent="0.35">
      <c r="A2" s="3">
        <v>43983</v>
      </c>
      <c r="B2" s="8">
        <v>2213.6999999999998</v>
      </c>
    </row>
    <row r="3" spans="1:5" x14ac:dyDescent="0.35">
      <c r="A3" s="3">
        <v>44013</v>
      </c>
      <c r="B3" s="8">
        <v>2245</v>
      </c>
    </row>
    <row r="4" spans="1:5" x14ac:dyDescent="0.35">
      <c r="A4" s="3">
        <v>44044</v>
      </c>
      <c r="B4" s="8">
        <v>1928.2</v>
      </c>
    </row>
    <row r="5" spans="1:5" x14ac:dyDescent="0.35">
      <c r="A5" s="3">
        <v>44075</v>
      </c>
      <c r="B5" s="8">
        <v>1910.7</v>
      </c>
    </row>
    <row r="6" spans="1:5" x14ac:dyDescent="0.35">
      <c r="A6" s="3">
        <v>44105</v>
      </c>
      <c r="B6" s="8">
        <v>2024.2</v>
      </c>
    </row>
    <row r="7" spans="1:5" x14ac:dyDescent="0.35">
      <c r="A7" s="3">
        <v>44136</v>
      </c>
      <c r="B7" s="8">
        <v>2641</v>
      </c>
    </row>
    <row r="8" spans="1:5" x14ac:dyDescent="0.35">
      <c r="A8" s="3">
        <v>44166</v>
      </c>
      <c r="B8" s="8">
        <v>2888.4</v>
      </c>
    </row>
    <row r="9" spans="1:5" x14ac:dyDescent="0.35">
      <c r="A9" s="3">
        <v>44197</v>
      </c>
      <c r="B9" s="8">
        <v>2134.1</v>
      </c>
    </row>
    <row r="10" spans="1:5" x14ac:dyDescent="0.35">
      <c r="A10" s="3">
        <v>44228</v>
      </c>
      <c r="B10" s="8">
        <v>2217.6999999999998</v>
      </c>
    </row>
    <row r="11" spans="1:5" x14ac:dyDescent="0.35">
      <c r="A11" s="3">
        <v>44256</v>
      </c>
      <c r="B11" s="8">
        <v>2475.8000000000002</v>
      </c>
    </row>
    <row r="12" spans="1:5" x14ac:dyDescent="0.35">
      <c r="A12" s="3">
        <v>44287</v>
      </c>
      <c r="B12" s="8">
        <v>2527.8000000000002</v>
      </c>
    </row>
    <row r="13" spans="1:5" x14ac:dyDescent="0.35">
      <c r="A13" s="3">
        <v>44317</v>
      </c>
      <c r="B13" s="8">
        <v>2447</v>
      </c>
    </row>
    <row r="14" spans="1:5" x14ac:dyDescent="0.35">
      <c r="A14" s="3">
        <v>44348</v>
      </c>
      <c r="B14" s="8">
        <v>2435</v>
      </c>
    </row>
    <row r="15" spans="1:5" x14ac:dyDescent="0.35">
      <c r="A15" s="3">
        <v>44378</v>
      </c>
      <c r="B15" s="8">
        <v>2014.3</v>
      </c>
    </row>
    <row r="16" spans="1:5" x14ac:dyDescent="0.35">
      <c r="A16" s="3">
        <v>44409</v>
      </c>
      <c r="B16" s="8">
        <v>1571.5</v>
      </c>
    </row>
    <row r="17" spans="1:2" x14ac:dyDescent="0.35">
      <c r="A17" s="3">
        <v>44440</v>
      </c>
      <c r="B17" s="8">
        <v>1668.2</v>
      </c>
    </row>
    <row r="18" spans="1:2" x14ac:dyDescent="0.35">
      <c r="A18" s="3">
        <v>44470</v>
      </c>
      <c r="B18" s="8">
        <v>2188.8000000000002</v>
      </c>
    </row>
    <row r="19" spans="1:2" x14ac:dyDescent="0.35">
      <c r="A19" s="3">
        <v>44501</v>
      </c>
      <c r="B19" s="8">
        <v>3032.8</v>
      </c>
    </row>
    <row r="20" spans="1:2" x14ac:dyDescent="0.35">
      <c r="A20" s="3">
        <v>44531</v>
      </c>
      <c r="B20" s="8">
        <v>3132.4</v>
      </c>
    </row>
    <row r="21" spans="1:2" x14ac:dyDescent="0.35">
      <c r="A21" s="3">
        <v>44562</v>
      </c>
      <c r="B21" s="8">
        <v>2303.6</v>
      </c>
    </row>
    <row r="22" spans="1:2" x14ac:dyDescent="0.35">
      <c r="A22" s="3">
        <v>44593</v>
      </c>
      <c r="B22" s="8">
        <v>2601.6999999999998</v>
      </c>
    </row>
    <row r="23" spans="1:2" x14ac:dyDescent="0.35">
      <c r="A23" s="3">
        <v>44621</v>
      </c>
      <c r="B23" s="8">
        <v>2838.3</v>
      </c>
    </row>
    <row r="24" spans="1:2" x14ac:dyDescent="0.35">
      <c r="A24" s="3">
        <v>44652</v>
      </c>
      <c r="B24" s="8">
        <v>2901.5</v>
      </c>
    </row>
    <row r="25" spans="1:2" x14ac:dyDescent="0.35">
      <c r="A25" s="3">
        <v>44682</v>
      </c>
      <c r="B25" s="8">
        <v>2760.5</v>
      </c>
    </row>
    <row r="26" spans="1:2" x14ac:dyDescent="0.35">
      <c r="A26" s="3">
        <v>44713</v>
      </c>
      <c r="B26" s="8">
        <v>3088.8</v>
      </c>
    </row>
    <row r="27" spans="1:2" x14ac:dyDescent="0.35">
      <c r="A27" s="3">
        <v>44743</v>
      </c>
      <c r="B27" s="8">
        <v>2989.4</v>
      </c>
    </row>
    <row r="28" spans="1:2" x14ac:dyDescent="0.35">
      <c r="A28" s="3">
        <v>44774</v>
      </c>
      <c r="B28" s="8">
        <v>2847.2</v>
      </c>
    </row>
    <row r="29" spans="1:2" x14ac:dyDescent="0.35">
      <c r="A29" s="3">
        <v>44805</v>
      </c>
      <c r="B29" s="8">
        <v>2874.7</v>
      </c>
    </row>
    <row r="30" spans="1:2" x14ac:dyDescent="0.35">
      <c r="A30" s="3">
        <v>44835</v>
      </c>
      <c r="B30" s="8">
        <v>2930</v>
      </c>
    </row>
    <row r="31" spans="1:2" x14ac:dyDescent="0.35">
      <c r="A31" s="3">
        <v>44866</v>
      </c>
      <c r="B31" s="8">
        <v>3270.8</v>
      </c>
    </row>
    <row r="32" spans="1:2" x14ac:dyDescent="0.35">
      <c r="A32" s="3">
        <v>44896</v>
      </c>
      <c r="B32" s="8">
        <v>3434.8</v>
      </c>
    </row>
    <row r="33" spans="1:2" x14ac:dyDescent="0.35">
      <c r="A33" s="3">
        <v>44927</v>
      </c>
      <c r="B33" s="8">
        <v>2712.8</v>
      </c>
    </row>
    <row r="34" spans="1:2" x14ac:dyDescent="0.35">
      <c r="A34" s="3">
        <v>44958</v>
      </c>
      <c r="B34" s="8">
        <v>2742.7</v>
      </c>
    </row>
    <row r="35" spans="1:2" x14ac:dyDescent="0.35">
      <c r="A35" s="3">
        <v>44986</v>
      </c>
      <c r="B35" s="8">
        <v>2956.9</v>
      </c>
    </row>
    <row r="36" spans="1:2" x14ac:dyDescent="0.35">
      <c r="A36" s="3">
        <v>45017</v>
      </c>
      <c r="B36" s="8">
        <v>3002.4</v>
      </c>
    </row>
    <row r="37" spans="1:2" x14ac:dyDescent="0.35">
      <c r="A37" s="3">
        <v>45047</v>
      </c>
      <c r="B37" s="8">
        <v>2914.7</v>
      </c>
    </row>
    <row r="38" spans="1:2" x14ac:dyDescent="0.35">
      <c r="A38" s="3">
        <v>45078</v>
      </c>
      <c r="B38" s="8">
        <v>3083.3</v>
      </c>
    </row>
    <row r="39" spans="1:2" x14ac:dyDescent="0.35">
      <c r="A39" s="3">
        <v>45108</v>
      </c>
      <c r="B39" s="8">
        <v>2950.5</v>
      </c>
    </row>
    <row r="40" spans="1:2" x14ac:dyDescent="0.35">
      <c r="A40" s="3">
        <v>45139</v>
      </c>
      <c r="B40" s="8">
        <v>2835.2</v>
      </c>
    </row>
    <row r="41" spans="1:2" x14ac:dyDescent="0.35">
      <c r="A41" s="3">
        <v>45170</v>
      </c>
      <c r="B41" s="8">
        <v>2902.5</v>
      </c>
    </row>
    <row r="42" spans="1:2" x14ac:dyDescent="0.35">
      <c r="A42" s="3">
        <v>45200</v>
      </c>
      <c r="B42" s="8">
        <v>2930.6</v>
      </c>
    </row>
    <row r="43" spans="1:2" x14ac:dyDescent="0.35">
      <c r="A43" s="3">
        <v>45231</v>
      </c>
      <c r="B43" s="8">
        <v>3251.6</v>
      </c>
    </row>
    <row r="44" spans="1:2" x14ac:dyDescent="0.35">
      <c r="A44" s="3">
        <v>45261</v>
      </c>
      <c r="B44" s="8">
        <v>3338.6</v>
      </c>
    </row>
    <row r="45" spans="1:2" x14ac:dyDescent="0.35">
      <c r="A45" s="3">
        <v>45292</v>
      </c>
      <c r="B45" s="8">
        <v>2690.6</v>
      </c>
    </row>
    <row r="46" spans="1:2" x14ac:dyDescent="0.35">
      <c r="A46" s="3">
        <v>45323</v>
      </c>
      <c r="B46" s="8">
        <v>2870.7</v>
      </c>
    </row>
    <row r="47" spans="1:2" x14ac:dyDescent="0.35">
      <c r="A47" s="3">
        <v>45352</v>
      </c>
      <c r="B47" s="8">
        <v>2974.6</v>
      </c>
    </row>
    <row r="48" spans="1:2" x14ac:dyDescent="0.35">
      <c r="A48" s="3">
        <v>45383</v>
      </c>
      <c r="B48" s="8">
        <v>2957.4</v>
      </c>
    </row>
    <row r="49" spans="1:2" x14ac:dyDescent="0.35">
      <c r="A49" s="3">
        <v>45413</v>
      </c>
      <c r="B49" s="8">
        <v>2879</v>
      </c>
    </row>
    <row r="50" spans="1:2" x14ac:dyDescent="0.35">
      <c r="A50" s="3">
        <v>45444</v>
      </c>
      <c r="B50" s="8">
        <v>3172.1</v>
      </c>
    </row>
    <row r="51" spans="1:2" x14ac:dyDescent="0.35">
      <c r="A51" s="3">
        <v>45474</v>
      </c>
      <c r="B51" s="8">
        <v>3018.5</v>
      </c>
    </row>
    <row r="52" spans="1:2" x14ac:dyDescent="0.35">
      <c r="A52" s="3">
        <v>45505</v>
      </c>
      <c r="B52" s="8">
        <v>2919.8</v>
      </c>
    </row>
    <row r="53" spans="1:2" x14ac:dyDescent="0.35">
      <c r="A53" s="3">
        <v>45536</v>
      </c>
      <c r="B53" s="8">
        <v>2928.9</v>
      </c>
    </row>
    <row r="54" spans="1:2" x14ac:dyDescent="0.35">
      <c r="A54" s="3">
        <v>45566</v>
      </c>
      <c r="B54" s="8">
        <v>2902.7</v>
      </c>
    </row>
    <row r="55" spans="1:2" x14ac:dyDescent="0.35">
      <c r="A55" s="3">
        <v>45597</v>
      </c>
      <c r="B55" s="8">
        <v>3276.7</v>
      </c>
    </row>
    <row r="56" spans="1:2" x14ac:dyDescent="0.35">
      <c r="A56" s="3">
        <v>45627</v>
      </c>
      <c r="B56" s="8">
        <v>3509</v>
      </c>
    </row>
    <row r="57" spans="1:2" x14ac:dyDescent="0.35">
      <c r="A57" s="3">
        <v>45658</v>
      </c>
      <c r="B57" s="8">
        <v>2787.2</v>
      </c>
    </row>
    <row r="58" spans="1:2" x14ac:dyDescent="0.35">
      <c r="A58" s="3">
        <v>45689</v>
      </c>
      <c r="B58" s="8">
        <v>2871.2</v>
      </c>
    </row>
    <row r="59" spans="1:2" x14ac:dyDescent="0.35">
      <c r="A59" s="3">
        <v>45717</v>
      </c>
      <c r="B59" s="8">
        <v>3172</v>
      </c>
    </row>
    <row r="60" spans="1:2" x14ac:dyDescent="0.35">
      <c r="A60" s="3">
        <v>45748</v>
      </c>
      <c r="B60" s="8">
        <v>2941</v>
      </c>
    </row>
    <row r="61" spans="1:2" x14ac:dyDescent="0.35">
      <c r="A61" s="3">
        <v>45778</v>
      </c>
      <c r="B61" s="8">
        <v>3021.2</v>
      </c>
    </row>
    <row r="62" spans="1:2" x14ac:dyDescent="0.35">
      <c r="A62" s="3">
        <v>45809</v>
      </c>
      <c r="B62" s="8">
        <v>3267.4</v>
      </c>
    </row>
    <row r="63" spans="1:2" x14ac:dyDescent="0.35">
      <c r="A63" s="3">
        <v>45839</v>
      </c>
      <c r="B63" s="8">
        <v>3200</v>
      </c>
    </row>
    <row r="64" spans="1:2" x14ac:dyDescent="0.35">
      <c r="A64" s="3">
        <v>45870</v>
      </c>
      <c r="B64" s="8">
        <v>3094.6</v>
      </c>
    </row>
    <row r="65" spans="1:5" x14ac:dyDescent="0.35">
      <c r="A65" s="3">
        <v>45901</v>
      </c>
      <c r="B65" s="8">
        <v>3139.4</v>
      </c>
    </row>
    <row r="66" spans="1:5" x14ac:dyDescent="0.35">
      <c r="A66" s="3">
        <v>45931</v>
      </c>
      <c r="B66" s="8">
        <v>3237</v>
      </c>
    </row>
    <row r="67" spans="1:5" x14ac:dyDescent="0.35">
      <c r="A67" s="3">
        <v>45962</v>
      </c>
      <c r="B67" s="8">
        <v>3591.1</v>
      </c>
    </row>
    <row r="68" spans="1:5" x14ac:dyDescent="0.35">
      <c r="A68" s="3">
        <v>45992</v>
      </c>
      <c r="B68" s="8">
        <v>3894.8</v>
      </c>
      <c r="C68" s="8">
        <v>3894.8</v>
      </c>
      <c r="D68" s="8">
        <v>3894.8</v>
      </c>
      <c r="E68" s="8">
        <v>3894.8</v>
      </c>
    </row>
    <row r="69" spans="1:5" x14ac:dyDescent="0.35">
      <c r="A69" s="3">
        <v>46023</v>
      </c>
      <c r="C69" s="8">
        <f>_xlfn.FORECAST.ETS(A69,$B$2:$B$68,$A$2:$A$68,1,1)</f>
        <v>3096.6430339342301</v>
      </c>
      <c r="D69" s="8">
        <f>C69-_xlfn.FORECAST.ETS.CONFINT(A69,$B$2:$B$68,$A$2:$A$68,0.95,1,1)</f>
        <v>2830.0065875426826</v>
      </c>
      <c r="E69" s="8">
        <f>C69+_xlfn.FORECAST.ETS.CONFINT(A69,$B$2:$B$68,$A$2:$A$68,0.95,1,1)</f>
        <v>3363.2794803257775</v>
      </c>
    </row>
    <row r="70" spans="1:5" x14ac:dyDescent="0.35">
      <c r="A70" s="3">
        <v>46054</v>
      </c>
      <c r="C70" s="8">
        <f>_xlfn.FORECAST.ETS(A70,$B$2:$B$68,$A$2:$A$68,1,1)</f>
        <v>3219.0893299180534</v>
      </c>
      <c r="D70" s="8">
        <f>C70-_xlfn.FORECAST.ETS.CONFINT(A70,$B$2:$B$68,$A$2:$A$68,0.95,1,1)</f>
        <v>2885.473535419203</v>
      </c>
      <c r="E70" s="8">
        <f>C70+_xlfn.FORECAST.ETS.CONFINT(A70,$B$2:$B$68,$A$2:$A$68,0.95,1,1)</f>
        <v>3552.7051244169038</v>
      </c>
    </row>
    <row r="71" spans="1:5" x14ac:dyDescent="0.35">
      <c r="A71" s="3">
        <v>46082</v>
      </c>
      <c r="C71" s="8">
        <f>_xlfn.FORECAST.ETS(A71,$B$2:$B$68,$A$2:$A$68,1,1)</f>
        <v>3440.6786703202961</v>
      </c>
      <c r="D71" s="8">
        <f>C71-_xlfn.FORECAST.ETS.CONFINT(A71,$B$2:$B$68,$A$2:$A$68,0.95,1,1)</f>
        <v>3051.306097967446</v>
      </c>
      <c r="E71" s="8">
        <f>C71+_xlfn.FORECAST.ETS.CONFINT(A71,$B$2:$B$68,$A$2:$A$68,0.95,1,1)</f>
        <v>3830.0512426731461</v>
      </c>
    </row>
    <row r="72" spans="1:5" x14ac:dyDescent="0.35">
      <c r="A72" s="3">
        <v>46113</v>
      </c>
      <c r="C72" s="8">
        <f>_xlfn.FORECAST.ETS(A72,$B$2:$B$68,$A$2:$A$68,1,1)</f>
        <v>3488.0425007347417</v>
      </c>
      <c r="D72" s="8">
        <f>C72-_xlfn.FORECAST.ETS.CONFINT(A72,$B$2:$B$68,$A$2:$A$68,0.95,1,1)</f>
        <v>3049.8306318641808</v>
      </c>
      <c r="E72" s="8">
        <f>C72+_xlfn.FORECAST.ETS.CONFINT(A72,$B$2:$B$68,$A$2:$A$68,0.95,1,1)</f>
        <v>3926.2543696053026</v>
      </c>
    </row>
    <row r="73" spans="1:5" x14ac:dyDescent="0.35">
      <c r="A73" s="3">
        <v>46143</v>
      </c>
      <c r="C73" s="8">
        <f>_xlfn.FORECAST.ETS(A73,$B$2:$B$68,$A$2:$A$68,1,1)</f>
        <v>3390.0831655333591</v>
      </c>
      <c r="D73" s="8">
        <f>C73-_xlfn.FORECAST.ETS.CONFINT(A73,$B$2:$B$68,$A$2:$A$68,0.95,1,1)</f>
        <v>2907.8430113734721</v>
      </c>
      <c r="E73" s="8">
        <f>C73+_xlfn.FORECAST.ETS.CONFINT(A73,$B$2:$B$68,$A$2:$A$68,0.95,1,1)</f>
        <v>3872.323319693246</v>
      </c>
    </row>
    <row r="74" spans="1:5" x14ac:dyDescent="0.35">
      <c r="A74" s="3">
        <v>46174</v>
      </c>
      <c r="C74" s="8">
        <f>_xlfn.FORECAST.ETS(A74,$B$2:$B$68,$A$2:$A$68,1,1)</f>
        <v>3556.9966848453037</v>
      </c>
      <c r="D74" s="8">
        <f>C74-_xlfn.FORECAST.ETS.CONFINT(A74,$B$2:$B$68,$A$2:$A$68,0.95,1,1)</f>
        <v>3034.3219149491192</v>
      </c>
      <c r="E74" s="8">
        <f>C74+_xlfn.FORECAST.ETS.CONFINT(A74,$B$2:$B$68,$A$2:$A$68,0.95,1,1)</f>
        <v>4079.6714547414881</v>
      </c>
    </row>
    <row r="75" spans="1:5" x14ac:dyDescent="0.35">
      <c r="A75" s="3">
        <v>46204</v>
      </c>
      <c r="C75" s="8">
        <f>_xlfn.FORECAST.ETS(A75,$B$2:$B$68,$A$2:$A$68,1,1)</f>
        <v>3341.8560417332678</v>
      </c>
      <c r="D75" s="8">
        <f>C75-_xlfn.FORECAST.ETS.CONFINT(A75,$B$2:$B$68,$A$2:$A$68,0.95,1,1)</f>
        <v>2781.5616275056645</v>
      </c>
      <c r="E75" s="8">
        <f>C75+_xlfn.FORECAST.ETS.CONFINT(A75,$B$2:$B$68,$A$2:$A$68,0.95,1,1)</f>
        <v>3902.1504559608711</v>
      </c>
    </row>
    <row r="76" spans="1:5" x14ac:dyDescent="0.35">
      <c r="A76" s="3">
        <v>46235</v>
      </c>
      <c r="C76" s="8">
        <f>_xlfn.FORECAST.ETS(A76,$B$2:$B$68,$A$2:$A$68,1,1)</f>
        <v>3112.0420677500424</v>
      </c>
      <c r="D76" s="8">
        <f>C76-_xlfn.FORECAST.ETS.CONFINT(A76,$B$2:$B$68,$A$2:$A$68,0.95,1,1)</f>
        <v>2516.4092487583321</v>
      </c>
      <c r="E76" s="8">
        <f>C76+_xlfn.FORECAST.ETS.CONFINT(A76,$B$2:$B$68,$A$2:$A$68,0.95,1,1)</f>
        <v>3707.6748867417527</v>
      </c>
    </row>
    <row r="77" spans="1:5" x14ac:dyDescent="0.35">
      <c r="A77" s="3">
        <v>46266</v>
      </c>
      <c r="C77" s="8">
        <f>_xlfn.FORECAST.ETS(A77,$B$2:$B$68,$A$2:$A$68,1,1)</f>
        <v>3180.5667747559892</v>
      </c>
      <c r="D77" s="8">
        <f>C77-_xlfn.FORECAST.ETS.CONFINT(A77,$B$2:$B$68,$A$2:$A$68,0.95,1,1)</f>
        <v>2551.492112563898</v>
      </c>
      <c r="E77" s="8">
        <f>C77+_xlfn.FORECAST.ETS.CONFINT(A77,$B$2:$B$68,$A$2:$A$68,0.95,1,1)</f>
        <v>3809.6414369480804</v>
      </c>
    </row>
    <row r="78" spans="1:5" x14ac:dyDescent="0.35">
      <c r="A78" s="3">
        <v>46296</v>
      </c>
      <c r="C78" s="8">
        <f>_xlfn.FORECAST.ETS(A78,$B$2:$B$68,$A$2:$A$68,1,1)</f>
        <v>3391.6433738412152</v>
      </c>
      <c r="D78" s="8">
        <f>C78-_xlfn.FORECAST.ETS.CONFINT(A78,$B$2:$B$68,$A$2:$A$68,0.95,1,1)</f>
        <v>2730.7353624955449</v>
      </c>
      <c r="E78" s="8">
        <f>C78+_xlfn.FORECAST.ETS.CONFINT(A78,$B$2:$B$68,$A$2:$A$68,0.95,1,1)</f>
        <v>4052.5513851868855</v>
      </c>
    </row>
    <row r="79" spans="1:5" x14ac:dyDescent="0.35">
      <c r="A79" s="3">
        <v>46327</v>
      </c>
      <c r="C79" s="8">
        <f>_xlfn.FORECAST.ETS(A79,$B$2:$B$68,$A$2:$A$68,1,1)</f>
        <v>3906.6993347101475</v>
      </c>
      <c r="D79" s="8">
        <f>C79-_xlfn.FORECAST.ETS.CONFINT(A79,$B$2:$B$68,$A$2:$A$68,0.95,1,1)</f>
        <v>3215.3441410532364</v>
      </c>
      <c r="E79" s="8">
        <f>C79+_xlfn.FORECAST.ETS.CONFINT(A79,$B$2:$B$68,$A$2:$A$68,0.95,1,1)</f>
        <v>4598.054528367059</v>
      </c>
    </row>
    <row r="80" spans="1:5" x14ac:dyDescent="0.35">
      <c r="A80" s="3">
        <v>46357</v>
      </c>
      <c r="C80" s="8">
        <f>_xlfn.FORECAST.ETS(A80,$B$2:$B$68,$A$2:$A$68,1,1)</f>
        <v>4071.7918128116835</v>
      </c>
      <c r="D80" s="8">
        <f>C80-_xlfn.FORECAST.ETS.CONFINT(A80,$B$2:$B$68,$A$2:$A$68,0.95,1,1)</f>
        <v>3351.1997744095283</v>
      </c>
      <c r="E80" s="8">
        <f>C80+_xlfn.FORECAST.ETS.CONFINT(A80,$B$2:$B$68,$A$2:$A$68,0.95,1,1)</f>
        <v>4792.3838512138382</v>
      </c>
    </row>
    <row r="81" spans="1:5" x14ac:dyDescent="0.35">
      <c r="A81" s="3">
        <v>46388</v>
      </c>
      <c r="C81" s="8">
        <f>_xlfn.FORECAST.ETS(A81,$B$2:$B$68,$A$2:$A$68,1,1)</f>
        <v>3296.4697188870268</v>
      </c>
      <c r="D81" s="8">
        <f>C81-_xlfn.FORECAST.ETS.CONFINT(A81,$B$2:$B$68,$A$2:$A$68,0.95,1,1)</f>
        <v>2547.6367937668037</v>
      </c>
      <c r="E81" s="8">
        <f>C81+_xlfn.FORECAST.ETS.CONFINT(A81,$B$2:$B$68,$A$2:$A$68,0.95,1,1)</f>
        <v>4045.3026440072499</v>
      </c>
    </row>
    <row r="82" spans="1:5" x14ac:dyDescent="0.35">
      <c r="A82" s="3">
        <v>46419</v>
      </c>
      <c r="C82" s="8">
        <f>_xlfn.FORECAST.ETS(A82,$B$2:$B$68,$A$2:$A$68,1,1)</f>
        <v>3418.9160148708502</v>
      </c>
      <c r="D82" s="8">
        <f>C82-_xlfn.FORECAST.ETS.CONFINT(A82,$B$2:$B$68,$A$2:$A$68,0.95,1,1)</f>
        <v>2642.8692291165075</v>
      </c>
      <c r="E82" s="8">
        <f>C82+_xlfn.FORECAST.ETS.CONFINT(A82,$B$2:$B$68,$A$2:$A$68,0.95,1,1)</f>
        <v>4194.9628006251933</v>
      </c>
    </row>
    <row r="83" spans="1:5" x14ac:dyDescent="0.35">
      <c r="A83" s="3">
        <v>46447</v>
      </c>
      <c r="C83" s="8">
        <f>_xlfn.FORECAST.ETS(A83,$B$2:$B$68,$A$2:$A$68,1,1)</f>
        <v>3640.5053552730928</v>
      </c>
      <c r="D83" s="8">
        <f>C83-_xlfn.FORECAST.ETS.CONFINT(A83,$B$2:$B$68,$A$2:$A$68,0.95,1,1)</f>
        <v>2838.0994842440714</v>
      </c>
      <c r="E83" s="8">
        <f>C83+_xlfn.FORECAST.ETS.CONFINT(A83,$B$2:$B$68,$A$2:$A$68,0.95,1,1)</f>
        <v>4442.9112263021143</v>
      </c>
    </row>
    <row r="84" spans="1:5" x14ac:dyDescent="0.35">
      <c r="A84" s="3">
        <v>46478</v>
      </c>
      <c r="C84" s="8">
        <f>_xlfn.FORECAST.ETS(A84,$B$2:$B$68,$A$2:$A$68,1,1)</f>
        <v>3687.8691856875384</v>
      </c>
      <c r="D84" s="8">
        <f>C84-_xlfn.FORECAST.ETS.CONFINT(A84,$B$2:$B$68,$A$2:$A$68,0.95,1,1)</f>
        <v>2859.8772796397288</v>
      </c>
      <c r="E84" s="8">
        <f>C84+_xlfn.FORECAST.ETS.CONFINT(A84,$B$2:$B$68,$A$2:$A$68,0.95,1,1)</f>
        <v>4515.8610917353481</v>
      </c>
    </row>
    <row r="85" spans="1:5" x14ac:dyDescent="0.35">
      <c r="A85" s="3">
        <v>46508</v>
      </c>
      <c r="C85" s="8">
        <f>_xlfn.FORECAST.ETS(A85,$B$2:$B$68,$A$2:$A$68,1,1)</f>
        <v>3589.9098504861558</v>
      </c>
      <c r="D85" s="8">
        <f>C85-_xlfn.FORECAST.ETS.CONFINT(A85,$B$2:$B$68,$A$2:$A$68,0.95,1,1)</f>
        <v>2737.0352994962909</v>
      </c>
      <c r="E85" s="8">
        <f>C85+_xlfn.FORECAST.ETS.CONFINT(A85,$B$2:$B$68,$A$2:$A$68,0.95,1,1)</f>
        <v>4442.7844014760212</v>
      </c>
    </row>
    <row r="86" spans="1:5" x14ac:dyDescent="0.35">
      <c r="A86" s="3">
        <v>46539</v>
      </c>
      <c r="C86" s="8">
        <f>_xlfn.FORECAST.ETS(A86,$B$2:$B$68,$A$2:$A$68,1,1)</f>
        <v>3756.8233697981004</v>
      </c>
      <c r="D86" s="8">
        <f>C86-_xlfn.FORECAST.ETS.CONFINT(A86,$B$2:$B$68,$A$2:$A$68,0.95,1,1)</f>
        <v>2879.7096178888805</v>
      </c>
      <c r="E86" s="8">
        <f>C86+_xlfn.FORECAST.ETS.CONFINT(A86,$B$2:$B$68,$A$2:$A$68,0.95,1,1)</f>
        <v>4633.9371217073203</v>
      </c>
    </row>
    <row r="87" spans="1:5" x14ac:dyDescent="0.35">
      <c r="A87" s="3">
        <v>46569</v>
      </c>
      <c r="C87" s="8">
        <f>_xlfn.FORECAST.ETS(A87,$B$2:$B$68,$A$2:$A$68,1,1)</f>
        <v>3541.6827266860641</v>
      </c>
      <c r="D87" s="8">
        <f>C87-_xlfn.FORECAST.ETS.CONFINT(A87,$B$2:$B$68,$A$2:$A$68,0.95,1,1)</f>
        <v>2640.9211928398481</v>
      </c>
      <c r="E87" s="8">
        <f>C87+_xlfn.FORECAST.ETS.CONFINT(A87,$B$2:$B$68,$A$2:$A$68,0.95,1,1)</f>
        <v>4442.4442605322802</v>
      </c>
    </row>
    <row r="88" spans="1:5" x14ac:dyDescent="0.35">
      <c r="A88" s="3">
        <v>46600</v>
      </c>
      <c r="C88" s="8">
        <f>_xlfn.FORECAST.ETS(A88,$B$2:$B$68,$A$2:$A$68,1,1)</f>
        <v>3311.8687527028392</v>
      </c>
      <c r="D88" s="8">
        <f>C88-_xlfn.FORECAST.ETS.CONFINT(A88,$B$2:$B$68,$A$2:$A$68,0.95,1,1)</f>
        <v>2388.0053628435426</v>
      </c>
      <c r="E88" s="8">
        <f>C88+_xlfn.FORECAST.ETS.CONFINT(A88,$B$2:$B$68,$A$2:$A$68,0.95,1,1)</f>
        <v>4235.7321425621358</v>
      </c>
    </row>
    <row r="89" spans="1:5" x14ac:dyDescent="0.35">
      <c r="A89" s="3">
        <v>46631</v>
      </c>
      <c r="C89" s="8">
        <f>_xlfn.FORECAST.ETS(A89,$B$2:$B$68,$A$2:$A$68,1,1)</f>
        <v>3380.3934597087855</v>
      </c>
      <c r="D89" s="8">
        <f>C89-_xlfn.FORECAST.ETS.CONFINT(A89,$B$2:$B$68,$A$2:$A$68,0.95,1,1)</f>
        <v>2433.9340877470377</v>
      </c>
      <c r="E89" s="8">
        <f>C89+_xlfn.FORECAST.ETS.CONFINT(A89,$B$2:$B$68,$A$2:$A$68,0.95,1,1)</f>
        <v>4326.8528316705333</v>
      </c>
    </row>
    <row r="90" spans="1:5" x14ac:dyDescent="0.35">
      <c r="A90" s="3">
        <v>46661</v>
      </c>
      <c r="C90" s="8">
        <f>_xlfn.FORECAST.ETS(A90,$B$2:$B$68,$A$2:$A$68,1,1)</f>
        <v>3591.4700587940119</v>
      </c>
      <c r="D90" s="8">
        <f>C90-_xlfn.FORECAST.ETS.CONFINT(A90,$B$2:$B$68,$A$2:$A$68,0.95,1,1)</f>
        <v>2622.8851002061124</v>
      </c>
      <c r="E90" s="8">
        <f>C90+_xlfn.FORECAST.ETS.CONFINT(A90,$B$2:$B$68,$A$2:$A$68,0.95,1,1)</f>
        <v>4560.055017381912</v>
      </c>
    </row>
    <row r="91" spans="1:5" x14ac:dyDescent="0.35">
      <c r="A91" s="3">
        <v>46692</v>
      </c>
      <c r="C91" s="8">
        <f>_xlfn.FORECAST.ETS(A91,$B$2:$B$68,$A$2:$A$68,1,1)</f>
        <v>4106.5260196629442</v>
      </c>
      <c r="D91" s="8">
        <f>C91-_xlfn.FORECAST.ETS.CONFINT(A91,$B$2:$B$68,$A$2:$A$68,0.95,1,1)</f>
        <v>3116.2542675676964</v>
      </c>
      <c r="E91" s="8">
        <f>C91+_xlfn.FORECAST.ETS.CONFINT(A91,$B$2:$B$68,$A$2:$A$68,0.95,1,1)</f>
        <v>5096.7977717581916</v>
      </c>
    </row>
    <row r="92" spans="1:5" x14ac:dyDescent="0.35">
      <c r="A92" s="3">
        <v>46722</v>
      </c>
      <c r="C92" s="8">
        <f>_xlfn.FORECAST.ETS(A92,$B$2:$B$68,$A$2:$A$68,1,1)</f>
        <v>4271.6184977644798</v>
      </c>
      <c r="D92" s="8">
        <f>C92-_xlfn.FORECAST.ETS.CONFINT(A92,$B$2:$B$68,$A$2:$A$68,0.95,1,1)</f>
        <v>3260.0704524648904</v>
      </c>
      <c r="E92" s="8">
        <f>C92+_xlfn.FORECAST.ETS.CONFINT(A92,$B$2:$B$68,$A$2:$A$68,0.95,1,1)</f>
        <v>5283.1665430640696</v>
      </c>
    </row>
    <row r="93" spans="1:5" x14ac:dyDescent="0.35">
      <c r="A93" s="3">
        <v>46753</v>
      </c>
      <c r="C93" s="8">
        <f>_xlfn.FORECAST.ETS(A93,$B$2:$B$68,$A$2:$A$68,1,1)</f>
        <v>3496.2964038398236</v>
      </c>
      <c r="D93" s="8">
        <f>C93-_xlfn.FORECAST.ETS.CONFINT(A93,$B$2:$B$68,$A$2:$A$68,0.95,1,1)</f>
        <v>2463.803717481157</v>
      </c>
      <c r="E93" s="8">
        <f>C93+_xlfn.FORECAST.ETS.CONFINT(A93,$B$2:$B$68,$A$2:$A$68,0.95,1,1)</f>
        <v>4528.7890901984902</v>
      </c>
    </row>
    <row r="94" spans="1:5" x14ac:dyDescent="0.35">
      <c r="A94" s="3">
        <v>46784</v>
      </c>
      <c r="C94" s="8">
        <f>_xlfn.FORECAST.ETS(A94,$B$2:$B$68,$A$2:$A$68,1,1)</f>
        <v>3618.7426998236469</v>
      </c>
      <c r="D94" s="8">
        <f>C94-_xlfn.FORECAST.ETS.CONFINT(A94,$B$2:$B$68,$A$2:$A$68,0.95,1,1)</f>
        <v>2565.7218800774976</v>
      </c>
      <c r="E94" s="8">
        <f>C94+_xlfn.FORECAST.ETS.CONFINT(A94,$B$2:$B$68,$A$2:$A$68,0.95,1,1)</f>
        <v>4671.7635195697967</v>
      </c>
    </row>
    <row r="95" spans="1:5" x14ac:dyDescent="0.35">
      <c r="A95" s="3">
        <v>46813</v>
      </c>
      <c r="C95" s="8">
        <f>_xlfn.FORECAST.ETS(A95,$B$2:$B$68,$A$2:$A$68,1,1)</f>
        <v>3840.3320402258892</v>
      </c>
      <c r="D95" s="8">
        <f>C95-_xlfn.FORECAST.ETS.CONFINT(A95,$B$2:$B$68,$A$2:$A$68,0.95,1,1)</f>
        <v>2767.1242519667394</v>
      </c>
      <c r="E95" s="8">
        <f>C95+_xlfn.FORECAST.ETS.CONFINT(A95,$B$2:$B$68,$A$2:$A$68,0.95,1,1)</f>
        <v>4913.5398284850389</v>
      </c>
    </row>
    <row r="96" spans="1:5" x14ac:dyDescent="0.35">
      <c r="A96" s="3">
        <v>46844</v>
      </c>
      <c r="C96" s="8">
        <f>_xlfn.FORECAST.ETS(A96,$B$2:$B$68,$A$2:$A$68,1,1)</f>
        <v>3887.6958706403352</v>
      </c>
      <c r="D96" s="8">
        <f>C96-_xlfn.FORECAST.ETS.CONFINT(A96,$B$2:$B$68,$A$2:$A$68,0.95,1,1)</f>
        <v>2794.6233115401378</v>
      </c>
      <c r="E96" s="8">
        <f>C96+_xlfn.FORECAST.ETS.CONFINT(A96,$B$2:$B$68,$A$2:$A$68,0.95,1,1)</f>
        <v>4980.7684297405322</v>
      </c>
    </row>
    <row r="97" spans="1:5" x14ac:dyDescent="0.35">
      <c r="A97" s="3">
        <v>46874</v>
      </c>
      <c r="C97" s="8">
        <f>_xlfn.FORECAST.ETS(A97,$B$2:$B$68,$A$2:$A$68,1,1)</f>
        <v>3789.7365354389526</v>
      </c>
      <c r="D97" s="8">
        <f>C97-_xlfn.FORECAST.ETS.CONFINT(A97,$B$2:$B$68,$A$2:$A$68,0.95,1,1)</f>
        <v>2677.1040817319254</v>
      </c>
      <c r="E97" s="8">
        <f>C97+_xlfn.FORECAST.ETS.CONFINT(A97,$B$2:$B$68,$A$2:$A$68,0.95,1,1)</f>
        <v>4902.3689891459799</v>
      </c>
    </row>
    <row r="98" spans="1:5" x14ac:dyDescent="0.35">
      <c r="A98" s="3">
        <v>46905</v>
      </c>
      <c r="C98" s="8">
        <f>_xlfn.FORECAST.ETS(A98,$B$2:$B$68,$A$2:$A$68,1,1)</f>
        <v>3956.6500547508972</v>
      </c>
      <c r="D98" s="8">
        <f>C98-_xlfn.FORECAST.ETS.CONFINT(A98,$B$2:$B$68,$A$2:$A$68,0.95,1,1)</f>
        <v>2824.746714477144</v>
      </c>
      <c r="E98" s="8">
        <f>C98+_xlfn.FORECAST.ETS.CONFINT(A98,$B$2:$B$68,$A$2:$A$68,0.95,1,1)</f>
        <v>5088.5533950246499</v>
      </c>
    </row>
    <row r="99" spans="1:5" x14ac:dyDescent="0.35">
      <c r="A99" s="3">
        <v>46935</v>
      </c>
      <c r="C99" s="8">
        <f>_xlfn.FORECAST.ETS(A99,$B$2:$B$68,$A$2:$A$68,1,1)</f>
        <v>3741.5094116388609</v>
      </c>
      <c r="D99" s="8">
        <f>C99-_xlfn.FORECAST.ETS.CONFINT(A99,$B$2:$B$68,$A$2:$A$68,0.95,1,1)</f>
        <v>2590.6096133548735</v>
      </c>
      <c r="E99" s="8">
        <f>C99+_xlfn.FORECAST.ETS.CONFINT(A99,$B$2:$B$68,$A$2:$A$68,0.95,1,1)</f>
        <v>4892.4092099228483</v>
      </c>
    </row>
    <row r="100" spans="1:5" x14ac:dyDescent="0.35">
      <c r="A100" s="3">
        <v>46966</v>
      </c>
      <c r="C100" s="8">
        <f>_xlfn.FORECAST.ETS(A100,$B$2:$B$68,$A$2:$A$68,1,1)</f>
        <v>3511.6954376556355</v>
      </c>
      <c r="D100" s="8">
        <f>C100-_xlfn.FORECAST.ETS.CONFINT(A100,$B$2:$B$68,$A$2:$A$68,0.95,1,1)</f>
        <v>2342.0601777844913</v>
      </c>
      <c r="E100" s="8">
        <f>C100+_xlfn.FORECAST.ETS.CONFINT(A100,$B$2:$B$68,$A$2:$A$68,0.95,1,1)</f>
        <v>4681.3306975267797</v>
      </c>
    </row>
    <row r="101" spans="1:5" x14ac:dyDescent="0.35">
      <c r="A101" s="3">
        <v>46997</v>
      </c>
      <c r="C101" s="8">
        <f>_xlfn.FORECAST.ETS(A101,$B$2:$B$68,$A$2:$A$68,1,1)</f>
        <v>3580.2201446615827</v>
      </c>
      <c r="D101" s="8">
        <f>C101-_xlfn.FORECAST.ETS.CONFINT(A101,$B$2:$B$68,$A$2:$A$68,0.95,1,1)</f>
        <v>2392.0980127896037</v>
      </c>
      <c r="E101" s="8">
        <f>C101+_xlfn.FORECAST.ETS.CONFINT(A101,$B$2:$B$68,$A$2:$A$68,0.95,1,1)</f>
        <v>4768.3422765335617</v>
      </c>
    </row>
    <row r="102" spans="1:5" x14ac:dyDescent="0.35">
      <c r="A102" s="3">
        <v>47027</v>
      </c>
      <c r="C102" s="8">
        <f>_xlfn.FORECAST.ETS(A102,$B$2:$B$68,$A$2:$A$68,1,1)</f>
        <v>3791.2967437468087</v>
      </c>
      <c r="D102" s="8">
        <f>C102-_xlfn.FORECAST.ETS.CONFINT(A102,$B$2:$B$68,$A$2:$A$68,0.95,1,1)</f>
        <v>2584.9248420470694</v>
      </c>
      <c r="E102" s="8">
        <f>C102+_xlfn.FORECAST.ETS.CONFINT(A102,$B$2:$B$68,$A$2:$A$68,0.95,1,1)</f>
        <v>4997.668645446548</v>
      </c>
    </row>
    <row r="103" spans="1:5" x14ac:dyDescent="0.35">
      <c r="A103" s="3">
        <v>47058</v>
      </c>
      <c r="C103" s="8">
        <f>_xlfn.FORECAST.ETS(A103,$B$2:$B$68,$A$2:$A$68,1,1)</f>
        <v>4306.3527046157405</v>
      </c>
      <c r="D103" s="8">
        <f>C103-_xlfn.FORECAST.ETS.CONFINT(A103,$B$2:$B$68,$A$2:$A$68,0.95,1,1)</f>
        <v>3081.9574750335132</v>
      </c>
      <c r="E103" s="8">
        <f>C103+_xlfn.FORECAST.ETS.CONFINT(A103,$B$2:$B$68,$A$2:$A$68,0.95,1,1)</f>
        <v>5530.7479341979679</v>
      </c>
    </row>
    <row r="104" spans="1:5" x14ac:dyDescent="0.35">
      <c r="A104" s="3">
        <v>47088</v>
      </c>
      <c r="C104" s="8">
        <f>_xlfn.FORECAST.ETS(A104,$B$2:$B$68,$A$2:$A$68,1,1)</f>
        <v>4471.445182717277</v>
      </c>
      <c r="D104" s="8">
        <f>C104-_xlfn.FORECAST.ETS.CONFINT(A104,$B$2:$B$68,$A$2:$A$68,0.95,1,1)</f>
        <v>3229.2431534671182</v>
      </c>
      <c r="E104" s="8">
        <f>C104+_xlfn.FORECAST.ETS.CONFINT(A104,$B$2:$B$68,$A$2:$A$68,0.95,1,1)</f>
        <v>5713.6472119674363</v>
      </c>
    </row>
    <row r="105" spans="1:5" x14ac:dyDescent="0.35">
      <c r="A105" s="3">
        <v>47119</v>
      </c>
      <c r="C105" s="8">
        <f>_xlfn.FORECAST.ETS(A105,$B$2:$B$68,$A$2:$A$68,1,1)</f>
        <v>3696.1230887926204</v>
      </c>
      <c r="D105" s="8">
        <f>C105-_xlfn.FORECAST.ETS.CONFINT(A105,$B$2:$B$68,$A$2:$A$68,0.95,1,1)</f>
        <v>2436.2771094104037</v>
      </c>
      <c r="E105" s="8">
        <f>C105+_xlfn.FORECAST.ETS.CONFINT(A105,$B$2:$B$68,$A$2:$A$68,0.95,1,1)</f>
        <v>4955.969068174837</v>
      </c>
    </row>
    <row r="106" spans="1:5" x14ac:dyDescent="0.35">
      <c r="A106" s="3">
        <v>47150</v>
      </c>
      <c r="C106" s="8">
        <f>_xlfn.FORECAST.ETS(A106,$B$2:$B$68,$A$2:$A$68,1,1)</f>
        <v>3818.5693847764437</v>
      </c>
      <c r="D106" s="8">
        <f>C106-_xlfn.FORECAST.ETS.CONFINT(A106,$B$2:$B$68,$A$2:$A$68,0.95,1,1)</f>
        <v>2541.3231665170742</v>
      </c>
      <c r="E106" s="8">
        <f>C106+_xlfn.FORECAST.ETS.CONFINT(A106,$B$2:$B$68,$A$2:$A$68,0.95,1,1)</f>
        <v>5095.8156030358132</v>
      </c>
    </row>
    <row r="107" spans="1:5" x14ac:dyDescent="0.35">
      <c r="A107" s="3">
        <v>47178</v>
      </c>
      <c r="C107" s="8">
        <f>_xlfn.FORECAST.ETS(A107,$B$2:$B$68,$A$2:$A$68,1,1)</f>
        <v>4040.1587251786859</v>
      </c>
      <c r="D107" s="8">
        <f>C107-_xlfn.FORECAST.ETS.CONFINT(A107,$B$2:$B$68,$A$2:$A$68,0.95,1,1)</f>
        <v>2745.702843676122</v>
      </c>
      <c r="E107" s="8">
        <f>C107+_xlfn.FORECAST.ETS.CONFINT(A107,$B$2:$B$68,$A$2:$A$68,0.95,1,1)</f>
        <v>5334.6146066812498</v>
      </c>
    </row>
    <row r="108" spans="1:5" x14ac:dyDescent="0.35">
      <c r="A108" s="3">
        <v>47209</v>
      </c>
      <c r="C108" s="8">
        <f>_xlfn.FORECAST.ETS(A108,$B$2:$B$68,$A$2:$A$68,1,1)</f>
        <v>4087.5225555931315</v>
      </c>
      <c r="D108" s="8">
        <f>C108-_xlfn.FORECAST.ETS.CONFINT(A108,$B$2:$B$68,$A$2:$A$68,0.95,1,1)</f>
        <v>2776.0400298796985</v>
      </c>
      <c r="E108" s="8">
        <f>C108+_xlfn.FORECAST.ETS.CONFINT(A108,$B$2:$B$68,$A$2:$A$68,0.95,1,1)</f>
        <v>5399.0050813065645</v>
      </c>
    </row>
    <row r="109" spans="1:5" x14ac:dyDescent="0.35">
      <c r="A109" s="3">
        <v>47239</v>
      </c>
      <c r="C109" s="8">
        <f>_xlfn.FORECAST.ETS(A109,$B$2:$B$68,$A$2:$A$68,1,1)</f>
        <v>3989.5632203917494</v>
      </c>
      <c r="D109" s="8">
        <f>C109-_xlfn.FORECAST.ETS.CONFINT(A109,$B$2:$B$68,$A$2:$A$68,0.95,1,1)</f>
        <v>2661.2299781166171</v>
      </c>
      <c r="E109" s="8">
        <f>C109+_xlfn.FORECAST.ETS.CONFINT(A109,$B$2:$B$68,$A$2:$A$68,0.95,1,1)</f>
        <v>5317.8964626668821</v>
      </c>
    </row>
    <row r="110" spans="1:5" x14ac:dyDescent="0.35">
      <c r="A110" s="3">
        <v>47270</v>
      </c>
      <c r="C110" s="8">
        <f>_xlfn.FORECAST.ETS(A110,$B$2:$B$68,$A$2:$A$68,1,1)</f>
        <v>4156.476739703694</v>
      </c>
      <c r="D110" s="8">
        <f>C110-_xlfn.FORECAST.ETS.CONFINT(A110,$B$2:$B$68,$A$2:$A$68,0.95,1,1)</f>
        <v>2811.4620434304488</v>
      </c>
      <c r="E110" s="8">
        <f>C110+_xlfn.FORECAST.ETS.CONFINT(A110,$B$2:$B$68,$A$2:$A$68,0.95,1,1)</f>
        <v>5501.4914359769391</v>
      </c>
    </row>
    <row r="111" spans="1:5" x14ac:dyDescent="0.35">
      <c r="A111" s="3">
        <v>47300</v>
      </c>
      <c r="C111" s="8">
        <f>_xlfn.FORECAST.ETS(A111,$B$2:$B$68,$A$2:$A$68,1,1)</f>
        <v>3941.3360965916577</v>
      </c>
      <c r="D111" s="8">
        <f>C111-_xlfn.FORECAST.ETS.CONFINT(A111,$B$2:$B$68,$A$2:$A$68,0.95,1,1)</f>
        <v>2579.8029352565381</v>
      </c>
      <c r="E111" s="8">
        <f>C111+_xlfn.FORECAST.ETS.CONFINT(A111,$B$2:$B$68,$A$2:$A$68,0.95,1,1)</f>
        <v>5302.8692579267772</v>
      </c>
    </row>
    <row r="112" spans="1:5" x14ac:dyDescent="0.35">
      <c r="A112" s="3">
        <v>47331</v>
      </c>
      <c r="C112" s="8">
        <f>_xlfn.FORECAST.ETS(A112,$B$2:$B$68,$A$2:$A$68,1,1)</f>
        <v>3711.5221226084323</v>
      </c>
      <c r="D112" s="8">
        <f>C112-_xlfn.FORECAST.ETS.CONFINT(A112,$B$2:$B$68,$A$2:$A$68,0.95,1,1)</f>
        <v>2333.6275717099452</v>
      </c>
      <c r="E112" s="8">
        <f>C112+_xlfn.FORECAST.ETS.CONFINT(A112,$B$2:$B$68,$A$2:$A$68,0.95,1,1)</f>
        <v>5089.4166735069193</v>
      </c>
    </row>
    <row r="113" spans="1:5" x14ac:dyDescent="0.35">
      <c r="A113" s="3">
        <v>47362</v>
      </c>
      <c r="C113" s="8">
        <f>_xlfn.FORECAST.ETS(A113,$B$2:$B$68,$A$2:$A$68,1,1)</f>
        <v>3780.046829614379</v>
      </c>
      <c r="D113" s="8">
        <f>C113-_xlfn.FORECAST.ETS.CONFINT(A113,$B$2:$B$68,$A$2:$A$68,0.95,1,1)</f>
        <v>2385.9423832680468</v>
      </c>
      <c r="E113" s="8">
        <f>C113+_xlfn.FORECAST.ETS.CONFINT(A113,$B$2:$B$68,$A$2:$A$68,0.95,1,1)</f>
        <v>5174.1512759607112</v>
      </c>
    </row>
    <row r="114" spans="1:5" x14ac:dyDescent="0.35">
      <c r="A114" s="3">
        <v>47392</v>
      </c>
      <c r="C114" s="8">
        <f>_xlfn.FORECAST.ETS(A114,$B$2:$B$68,$A$2:$A$68,1,1)</f>
        <v>3991.1234286996055</v>
      </c>
      <c r="D114" s="8">
        <f>C114-_xlfn.FORECAST.ETS.CONFINT(A114,$B$2:$B$68,$A$2:$A$68,0.95,1,1)</f>
        <v>2580.9553063163903</v>
      </c>
      <c r="E114" s="8">
        <f>C114+_xlfn.FORECAST.ETS.CONFINT(A114,$B$2:$B$68,$A$2:$A$68,0.95,1,1)</f>
        <v>5401.2915510828207</v>
      </c>
    </row>
    <row r="115" spans="1:5" x14ac:dyDescent="0.35">
      <c r="A115" s="3">
        <v>47423</v>
      </c>
      <c r="C115" s="8">
        <f>_xlfn.FORECAST.ETS(A115,$B$2:$B$68,$A$2:$A$68,1,1)</f>
        <v>4506.1793895685378</v>
      </c>
      <c r="D115" s="8">
        <f>C115-_xlfn.FORECAST.ETS.CONFINT(A115,$B$2:$B$68,$A$2:$A$68,0.95,1,1)</f>
        <v>3080.088819592248</v>
      </c>
      <c r="E115" s="8">
        <f>C115+_xlfn.FORECAST.ETS.CONFINT(A115,$B$2:$B$68,$A$2:$A$68,0.95,1,1)</f>
        <v>5932.2699595448275</v>
      </c>
    </row>
    <row r="116" spans="1:5" x14ac:dyDescent="0.35">
      <c r="A116" s="3">
        <v>47453</v>
      </c>
      <c r="C116" s="8">
        <f>_xlfn.FORECAST.ETS(A116,$B$2:$B$68,$A$2:$A$68,1,1)</f>
        <v>4671.2718676700733</v>
      </c>
      <c r="D116" s="8">
        <f>C116-_xlfn.FORECAST.ETS.CONFINT(A116,$B$2:$B$68,$A$2:$A$68,0.95,1,1)</f>
        <v>3229.3953505296158</v>
      </c>
      <c r="E116" s="8">
        <f>C116+_xlfn.FORECAST.ETS.CONFINT(A116,$B$2:$B$68,$A$2:$A$68,0.95,1,1)</f>
        <v>6113.1483848105308</v>
      </c>
    </row>
    <row r="117" spans="1:5" x14ac:dyDescent="0.35">
      <c r="A117" s="3">
        <v>47484</v>
      </c>
      <c r="C117" s="8">
        <f>_xlfn.FORECAST.ETS(A117,$B$2:$B$68,$A$2:$A$68,1,1)</f>
        <v>3895.9497737454171</v>
      </c>
      <c r="D117" s="8">
        <f>C117-_xlfn.FORECAST.ETS.CONFINT(A117,$B$2:$B$68,$A$2:$A$68,0.95,1,1)</f>
        <v>2438.3803286796065</v>
      </c>
      <c r="E117" s="8">
        <f>C117+_xlfn.FORECAST.ETS.CONFINT(A117,$B$2:$B$68,$A$2:$A$68,0.95,1,1)</f>
        <v>5353.5192188112278</v>
      </c>
    </row>
    <row r="118" spans="1:5" x14ac:dyDescent="0.35">
      <c r="A118" s="3">
        <v>47515</v>
      </c>
      <c r="C118" s="8">
        <f>_xlfn.FORECAST.ETS(A118,$B$2:$B$68,$A$2:$A$68,1,1)</f>
        <v>4018.39606972924</v>
      </c>
      <c r="D118" s="8">
        <f>C118-_xlfn.FORECAST.ETS.CONFINT(A118,$B$2:$B$68,$A$2:$A$68,0.95,1,1)</f>
        <v>2545.3008644903471</v>
      </c>
      <c r="E118" s="8">
        <f>C118+_xlfn.FORECAST.ETS.CONFINT(A118,$B$2:$B$68,$A$2:$A$68,0.95,1,1)</f>
        <v>5491.4912749681334</v>
      </c>
    </row>
    <row r="119" spans="1:5" x14ac:dyDescent="0.35">
      <c r="A119" s="3">
        <v>47543</v>
      </c>
      <c r="C119" s="8">
        <f>_xlfn.FORECAST.ETS(A119,$B$2:$B$68,$A$2:$A$68,1,1)</f>
        <v>4239.9854101314822</v>
      </c>
      <c r="D119" s="8">
        <f>C119-_xlfn.FORECAST.ETS.CONFINT(A119,$B$2:$B$68,$A$2:$A$68,0.95,1,1)</f>
        <v>2751.4881466833958</v>
      </c>
      <c r="E119" s="8">
        <f>C119+_xlfn.FORECAST.ETS.CONFINT(A119,$B$2:$B$68,$A$2:$A$68,0.95,1,1)</f>
        <v>5728.4826735795687</v>
      </c>
    </row>
    <row r="120" spans="1:5" x14ac:dyDescent="0.35">
      <c r="A120" s="3">
        <v>47574</v>
      </c>
      <c r="C120" s="8">
        <f>_xlfn.FORECAST.ETS(A120,$B$2:$B$68,$A$2:$A$68,1,1)</f>
        <v>4287.3492405459292</v>
      </c>
      <c r="D120" s="8">
        <f>C120-_xlfn.FORECAST.ETS.CONFINT(A120,$B$2:$B$68,$A$2:$A$68,0.95,1,1)</f>
        <v>2783.5697726174294</v>
      </c>
      <c r="E120" s="8">
        <f>C120+_xlfn.FORECAST.ETS.CONFINT(A120,$B$2:$B$68,$A$2:$A$68,0.95,1,1)</f>
        <v>5791.128708474429</v>
      </c>
    </row>
    <row r="121" spans="1:5" x14ac:dyDescent="0.35">
      <c r="A121" s="3">
        <v>47604</v>
      </c>
      <c r="C121" s="8">
        <f>_xlfn.FORECAST.ETS(A121,$B$2:$B$68,$A$2:$A$68,1,1)</f>
        <v>4189.3899053445457</v>
      </c>
      <c r="D121" s="8">
        <f>C121-_xlfn.FORECAST.ETS.CONFINT(A121,$B$2:$B$68,$A$2:$A$68,0.95,1,1)</f>
        <v>2670.4444222871566</v>
      </c>
      <c r="E121" s="8">
        <f>C121+_xlfn.FORECAST.ETS.CONFINT(A121,$B$2:$B$68,$A$2:$A$68,0.95,1,1)</f>
        <v>5708.3353884019343</v>
      </c>
    </row>
    <row r="122" spans="1:5" x14ac:dyDescent="0.35">
      <c r="A122" s="3">
        <v>47635</v>
      </c>
      <c r="C122" s="8">
        <f>_xlfn.FORECAST.ETS(A122,$B$2:$B$68,$A$2:$A$68,1,1)</f>
        <v>4356.3034246564912</v>
      </c>
      <c r="D122" s="8">
        <f>C122-_xlfn.FORECAST.ETS.CONFINT(A122,$B$2:$B$68,$A$2:$A$68,0.95,1,1)</f>
        <v>2822.3046233226041</v>
      </c>
      <c r="E122" s="8">
        <f>C122+_xlfn.FORECAST.ETS.CONFINT(A122,$B$2:$B$68,$A$2:$A$68,0.95,1,1)</f>
        <v>5890.3022259903782</v>
      </c>
    </row>
    <row r="123" spans="1:5" x14ac:dyDescent="0.35">
      <c r="A123" s="3">
        <v>47665</v>
      </c>
      <c r="C123" s="8">
        <f>_xlfn.FORECAST.ETS(A123,$B$2:$B$68,$A$2:$A$68,1,1)</f>
        <v>4141.1627815444544</v>
      </c>
      <c r="D123" s="8">
        <f>C123-_xlfn.FORECAST.ETS.CONFINT(A123,$B$2:$B$68,$A$2:$A$68,0.95,1,1)</f>
        <v>2592.2200271686256</v>
      </c>
      <c r="E123" s="8">
        <f>C123+_xlfn.FORECAST.ETS.CONFINT(A123,$B$2:$B$68,$A$2:$A$68,0.95,1,1)</f>
        <v>5690.1055359202837</v>
      </c>
    </row>
    <row r="124" spans="1:5" x14ac:dyDescent="0.35">
      <c r="A124" s="3">
        <v>47696</v>
      </c>
      <c r="C124" s="8">
        <f>_xlfn.FORECAST.ETS(A124,$B$2:$B$68,$A$2:$A$68,1,1)</f>
        <v>3911.348807561229</v>
      </c>
      <c r="D124" s="8">
        <f>C124-_xlfn.FORECAST.ETS.CONFINT(A124,$B$2:$B$68,$A$2:$A$68,0.95,1,1)</f>
        <v>2347.5682845308493</v>
      </c>
      <c r="E124" s="8">
        <f>C124+_xlfn.FORECAST.ETS.CONFINT(A124,$B$2:$B$68,$A$2:$A$68,0.95,1,1)</f>
        <v>5475.1293305916088</v>
      </c>
    </row>
    <row r="125" spans="1:5" x14ac:dyDescent="0.35">
      <c r="A125" s="3">
        <v>47727</v>
      </c>
      <c r="C125" s="8">
        <f>_xlfn.FORECAST.ETS(A125,$B$2:$B$68,$A$2:$A$68,1,1)</f>
        <v>3979.8735145671762</v>
      </c>
      <c r="D125" s="8">
        <f>C125-_xlfn.FORECAST.ETS.CONFINT(A125,$B$2:$B$68,$A$2:$A$68,0.95,1,1)</f>
        <v>2401.3583678830664</v>
      </c>
      <c r="E125" s="8">
        <f>C125+_xlfn.FORECAST.ETS.CONFINT(A125,$B$2:$B$68,$A$2:$A$68,0.95,1,1)</f>
        <v>5558.3886612512861</v>
      </c>
    </row>
    <row r="126" spans="1:5" x14ac:dyDescent="0.35">
      <c r="A126" s="3">
        <v>47757</v>
      </c>
      <c r="C126" s="8">
        <f>_xlfn.FORECAST.ETS(A126,$B$2:$B$68,$A$2:$A$68,1,1)</f>
        <v>4190.9501136524013</v>
      </c>
      <c r="D126" s="8">
        <f>C126-_xlfn.FORECAST.ETS.CONFINT(A126,$B$2:$B$68,$A$2:$A$68,0.95,1,1)</f>
        <v>2597.8005818038259</v>
      </c>
      <c r="E126" s="8">
        <f>C126+_xlfn.FORECAST.ETS.CONFINT(A126,$B$2:$B$68,$A$2:$A$68,0.95,1,1)</f>
        <v>5784.0996455009772</v>
      </c>
    </row>
    <row r="127" spans="1:5" x14ac:dyDescent="0.35">
      <c r="A127" s="3">
        <v>47788</v>
      </c>
      <c r="C127" s="8">
        <f>_xlfn.FORECAST.ETS(A127,$B$2:$B$68,$A$2:$A$68,1,1)</f>
        <v>4706.0060745213341</v>
      </c>
      <c r="D127" s="8">
        <f>C127-_xlfn.FORECAST.ETS.CONFINT(A127,$B$2:$B$68,$A$2:$A$68,0.95,1,1)</f>
        <v>3098.3196144322746</v>
      </c>
      <c r="E127" s="8">
        <f>C127+_xlfn.FORECAST.ETS.CONFINT(A127,$B$2:$B$68,$A$2:$A$68,0.95,1,1)</f>
        <v>6313.6925346103935</v>
      </c>
    </row>
    <row r="128" spans="1:5" x14ac:dyDescent="0.35">
      <c r="A128" s="3">
        <v>47818</v>
      </c>
      <c r="C128" s="8">
        <f>_xlfn.FORECAST.ETS(A128,$B$2:$B$68,$A$2:$A$68,1,1)</f>
        <v>4871.0985526228696</v>
      </c>
      <c r="D128" s="8">
        <f>C128-_xlfn.FORECAST.ETS.CONFINT(A128,$B$2:$B$68,$A$2:$A$68,0.95,1,1)</f>
        <v>3248.9699572660729</v>
      </c>
      <c r="E128" s="8">
        <f>C128+_xlfn.FORECAST.ETS.CONFINT(A128,$B$2:$B$68,$A$2:$A$68,0.95,1,1)</f>
        <v>6493.2271479796664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Cotton On - timeseries</vt:lpstr>
      <vt:lpstr>Holt-Winters 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Isadora Faria</cp:lastModifiedBy>
  <dcterms:created xsi:type="dcterms:W3CDTF">2026-02-16T00:28:56Z</dcterms:created>
  <dcterms:modified xsi:type="dcterms:W3CDTF">2026-02-16T01:58:04Z</dcterms:modified>
</cp:coreProperties>
</file>